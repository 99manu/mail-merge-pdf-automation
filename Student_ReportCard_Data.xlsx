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66925"/>
  <xr:revisionPtr revIDLastSave="0" documentId="13_ncr:1_{7B236078-B560-42D6-ACA9-09737BB1EE74}" xr6:coauthVersionLast="45" xr6:coauthVersionMax="45" xr10:uidLastSave="{00000000-0000-0000-0000-000000000000}"/>
  <bookViews>
    <workbookView xWindow="-120" yWindow="-120" windowWidth="20730" windowHeight="11160" xr2:uid="{4CF24223-A6BF-4E85-A333-BD4D4F7A2CD5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2" i="4" l="1"/>
  <c r="AF12" i="4"/>
  <c r="AE12" i="4"/>
  <c r="AD12" i="4"/>
  <c r="AC12" i="4"/>
  <c r="AA12" i="4"/>
  <c r="AB12" i="4" s="1"/>
  <c r="T12" i="4"/>
  <c r="U12" i="4" s="1"/>
  <c r="M12" i="4"/>
  <c r="AH12" i="4" s="1"/>
  <c r="AI12" i="4" s="1"/>
  <c r="AG11" i="4"/>
  <c r="AF11" i="4"/>
  <c r="AE11" i="4"/>
  <c r="AD11" i="4"/>
  <c r="AC11" i="4"/>
  <c r="AA11" i="4"/>
  <c r="AB11" i="4" s="1"/>
  <c r="T11" i="4"/>
  <c r="U11" i="4" s="1"/>
  <c r="M11" i="4"/>
  <c r="AH11" i="4" s="1"/>
  <c r="AI11" i="4" s="1"/>
  <c r="AG10" i="4"/>
  <c r="AF10" i="4"/>
  <c r="AE10" i="4"/>
  <c r="AD10" i="4"/>
  <c r="AC10" i="4"/>
  <c r="AA10" i="4"/>
  <c r="AB10" i="4" s="1"/>
  <c r="T10" i="4"/>
  <c r="U10" i="4" s="1"/>
  <c r="M10" i="4"/>
  <c r="AH10" i="4" s="1"/>
  <c r="AI10" i="4" s="1"/>
  <c r="AG9" i="4"/>
  <c r="AF9" i="4"/>
  <c r="AE9" i="4"/>
  <c r="AD9" i="4"/>
  <c r="AC9" i="4"/>
  <c r="AA9" i="4"/>
  <c r="AB9" i="4" s="1"/>
  <c r="T9" i="4"/>
  <c r="U9" i="4" s="1"/>
  <c r="M9" i="4"/>
  <c r="AH9" i="4" s="1"/>
  <c r="AI9" i="4" s="1"/>
  <c r="AG8" i="4"/>
  <c r="AF8" i="4"/>
  <c r="AE8" i="4"/>
  <c r="AD8" i="4"/>
  <c r="AC8" i="4"/>
  <c r="AA8" i="4"/>
  <c r="AB8" i="4" s="1"/>
  <c r="T8" i="4"/>
  <c r="U8" i="4" s="1"/>
  <c r="M8" i="4"/>
  <c r="AH8" i="4" s="1"/>
  <c r="AI8" i="4" s="1"/>
  <c r="AG7" i="4"/>
  <c r="AF7" i="4"/>
  <c r="AE7" i="4"/>
  <c r="AD7" i="4"/>
  <c r="AC7" i="4"/>
  <c r="AA7" i="4"/>
  <c r="AB7" i="4" s="1"/>
  <c r="T7" i="4"/>
  <c r="U7" i="4" s="1"/>
  <c r="M7" i="4"/>
  <c r="AH7" i="4" s="1"/>
  <c r="AI7" i="4" s="1"/>
  <c r="AG6" i="4"/>
  <c r="AF6" i="4"/>
  <c r="AE6" i="4"/>
  <c r="AD6" i="4"/>
  <c r="AC6" i="4"/>
  <c r="AA6" i="4"/>
  <c r="AB6" i="4" s="1"/>
  <c r="T6" i="4"/>
  <c r="U6" i="4" s="1"/>
  <c r="M6" i="4"/>
  <c r="AH6" i="4" s="1"/>
  <c r="AI6" i="4" s="1"/>
  <c r="AG5" i="4"/>
  <c r="AF5" i="4"/>
  <c r="AE5" i="4"/>
  <c r="AD5" i="4"/>
  <c r="AC5" i="4"/>
  <c r="AA5" i="4"/>
  <c r="AB5" i="4" s="1"/>
  <c r="T5" i="4"/>
  <c r="U5" i="4" s="1"/>
  <c r="M5" i="4"/>
  <c r="AH5" i="4" s="1"/>
  <c r="AI5" i="4" s="1"/>
  <c r="AG4" i="4"/>
  <c r="AF4" i="4"/>
  <c r="AE4" i="4"/>
  <c r="AD4" i="4"/>
  <c r="AC4" i="4"/>
  <c r="AA4" i="4"/>
  <c r="AB4" i="4" s="1"/>
  <c r="T4" i="4"/>
  <c r="U4" i="4" s="1"/>
  <c r="M4" i="4"/>
  <c r="AH4" i="4" s="1"/>
  <c r="AI4" i="4" s="1"/>
  <c r="AG3" i="4"/>
  <c r="AF3" i="4"/>
  <c r="AE3" i="4"/>
  <c r="AD3" i="4"/>
  <c r="AC3" i="4"/>
  <c r="AA3" i="4"/>
  <c r="AB3" i="4" s="1"/>
  <c r="T3" i="4"/>
  <c r="U3" i="4" s="1"/>
  <c r="M3" i="4"/>
  <c r="AH3" i="4" s="1"/>
  <c r="AI3" i="4" s="1"/>
  <c r="AL4" i="4" l="1"/>
  <c r="AK4" i="4"/>
  <c r="AJ4" i="4"/>
  <c r="AL6" i="4"/>
  <c r="AK6" i="4"/>
  <c r="AJ6" i="4"/>
  <c r="AL9" i="4"/>
  <c r="AK9" i="4"/>
  <c r="AJ9" i="4"/>
  <c r="AL11" i="4"/>
  <c r="AK11" i="4"/>
  <c r="AJ11" i="4"/>
  <c r="AL3" i="4"/>
  <c r="AK3" i="4"/>
  <c r="AJ3" i="4"/>
  <c r="AL5" i="4"/>
  <c r="AK5" i="4"/>
  <c r="AJ5" i="4"/>
  <c r="AL7" i="4"/>
  <c r="AK7" i="4"/>
  <c r="AJ7" i="4"/>
  <c r="AL8" i="4"/>
  <c r="AK8" i="4"/>
  <c r="AJ8" i="4"/>
  <c r="AL10" i="4"/>
  <c r="AK10" i="4"/>
  <c r="AJ10" i="4"/>
  <c r="AL12" i="4"/>
  <c r="AK12" i="4"/>
  <c r="AJ12" i="4"/>
  <c r="N3" i="4"/>
  <c r="N4" i="4"/>
  <c r="N5" i="4"/>
  <c r="N6" i="4"/>
  <c r="N7" i="4"/>
  <c r="N8" i="4"/>
  <c r="N9" i="4"/>
  <c r="N10" i="4"/>
  <c r="N11" i="4"/>
  <c r="N12" i="4"/>
  <c r="AG3" i="1" l="1"/>
  <c r="AG4" i="1"/>
  <c r="AG5" i="1"/>
  <c r="AG6" i="1"/>
  <c r="AG7" i="1"/>
  <c r="AG8" i="1"/>
  <c r="AG9" i="1"/>
  <c r="AG10" i="1"/>
  <c r="AG11" i="1"/>
  <c r="AG2" i="1"/>
  <c r="AF3" i="1"/>
  <c r="AF4" i="1"/>
  <c r="AF5" i="1"/>
  <c r="AF6" i="1"/>
  <c r="AF7" i="1"/>
  <c r="AF8" i="1"/>
  <c r="AF9" i="1"/>
  <c r="AF10" i="1"/>
  <c r="AF11" i="1"/>
  <c r="AF2" i="1"/>
  <c r="AE3" i="1"/>
  <c r="AE4" i="1"/>
  <c r="AE5" i="1"/>
  <c r="AE6" i="1"/>
  <c r="AE7" i="1"/>
  <c r="AE8" i="1"/>
  <c r="AE9" i="1"/>
  <c r="AE10" i="1"/>
  <c r="AE11" i="1"/>
  <c r="AE2" i="1"/>
  <c r="AD3" i="1"/>
  <c r="AD4" i="1"/>
  <c r="AD5" i="1"/>
  <c r="AD6" i="1"/>
  <c r="AD7" i="1"/>
  <c r="AD8" i="1"/>
  <c r="AD9" i="1"/>
  <c r="AD10" i="1"/>
  <c r="AD11" i="1"/>
  <c r="AD2" i="1"/>
  <c r="AC3" i="1"/>
  <c r="AC4" i="1"/>
  <c r="AC5" i="1"/>
  <c r="AC6" i="1"/>
  <c r="AC7" i="1"/>
  <c r="AC8" i="1"/>
  <c r="AC9" i="1"/>
  <c r="AC10" i="1"/>
  <c r="AC11" i="1"/>
  <c r="AC2" i="1"/>
  <c r="AA3" i="1" l="1"/>
  <c r="AB3" i="1" s="1"/>
  <c r="AA4" i="1"/>
  <c r="AB4" i="1" s="1"/>
  <c r="AA5" i="1"/>
  <c r="AA6" i="1"/>
  <c r="AB6" i="1" s="1"/>
  <c r="AA7" i="1"/>
  <c r="AA8" i="1"/>
  <c r="AA9" i="1"/>
  <c r="AB9" i="1" s="1"/>
  <c r="AA10" i="1"/>
  <c r="AA11" i="1"/>
  <c r="AB11" i="1" s="1"/>
  <c r="T3" i="1"/>
  <c r="U3" i="1" s="1"/>
  <c r="T4" i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AA2" i="1"/>
  <c r="AB2" i="1" s="1"/>
  <c r="T2" i="1"/>
  <c r="U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2" i="1"/>
  <c r="N2" i="1" s="1"/>
  <c r="AH8" i="1" l="1"/>
  <c r="AI8" i="1" s="1"/>
  <c r="AL8" i="1" s="1"/>
  <c r="AH7" i="1"/>
  <c r="AI7" i="1" s="1"/>
  <c r="AL7" i="1" s="1"/>
  <c r="AH10" i="1"/>
  <c r="AI10" i="1" s="1"/>
  <c r="AL10" i="1" s="1"/>
  <c r="AB8" i="1"/>
  <c r="AK8" i="1"/>
  <c r="AH4" i="1"/>
  <c r="AI4" i="1" s="1"/>
  <c r="AL4" i="1" s="1"/>
  <c r="AH5" i="1"/>
  <c r="AI5" i="1" s="1"/>
  <c r="AL5" i="1" s="1"/>
  <c r="U4" i="1"/>
  <c r="AB7" i="1"/>
  <c r="AB5" i="1"/>
  <c r="AH9" i="1"/>
  <c r="AI9" i="1" s="1"/>
  <c r="AL9" i="1" s="1"/>
  <c r="AH3" i="1"/>
  <c r="AH2" i="1"/>
  <c r="AH6" i="1"/>
  <c r="AI6" i="1" s="1"/>
  <c r="AL6" i="1" s="1"/>
  <c r="AB10" i="1"/>
  <c r="AH11" i="1"/>
  <c r="AI11" i="1" s="1"/>
  <c r="AL11" i="1" s="1"/>
  <c r="AJ8" i="1" l="1"/>
  <c r="AI2" i="1"/>
  <c r="AL2" i="1" s="1"/>
  <c r="AJ9" i="1"/>
  <c r="AK9" i="1"/>
  <c r="AJ5" i="1"/>
  <c r="AK5" i="1"/>
  <c r="AJ6" i="1"/>
  <c r="AK6" i="1"/>
  <c r="AJ10" i="1"/>
  <c r="AK10" i="1"/>
  <c r="AJ11" i="1"/>
  <c r="AK11" i="1"/>
  <c r="AI3" i="1"/>
  <c r="AL3" i="1" s="1"/>
  <c r="AJ4" i="1"/>
  <c r="AK4" i="1"/>
  <c r="AJ7" i="1"/>
  <c r="AK7" i="1"/>
  <c r="AK3" i="1" l="1"/>
  <c r="AJ3" i="1"/>
  <c r="AK2" i="1"/>
  <c r="AJ2" i="1"/>
</calcChain>
</file>

<file path=xl/sharedStrings.xml><?xml version="1.0" encoding="utf-8"?>
<sst xmlns="http://schemas.openxmlformats.org/spreadsheetml/2006/main" count="241" uniqueCount="78">
  <si>
    <t>Student ID</t>
  </si>
  <si>
    <t>Student Name</t>
  </si>
  <si>
    <t>Class</t>
  </si>
  <si>
    <t>Roll No.</t>
  </si>
  <si>
    <t>Academic Year</t>
  </si>
  <si>
    <t>T1_Maths</t>
  </si>
  <si>
    <t>T1_English</t>
  </si>
  <si>
    <t>T1_Science</t>
  </si>
  <si>
    <t>T1_SST</t>
  </si>
  <si>
    <t>T1_Hindi</t>
  </si>
  <si>
    <t>T1_Total</t>
  </si>
  <si>
    <t>T2_English</t>
  </si>
  <si>
    <t>T2_Hindi</t>
  </si>
  <si>
    <t>T2_Maths</t>
  </si>
  <si>
    <t>T2_Science</t>
  </si>
  <si>
    <t>T2_SST</t>
  </si>
  <si>
    <t>T2_Total</t>
  </si>
  <si>
    <t>Final Grade</t>
  </si>
  <si>
    <t>Final Result</t>
  </si>
  <si>
    <t>Teacher Remarks</t>
  </si>
  <si>
    <t>Class Teacher</t>
  </si>
  <si>
    <t>Principal</t>
  </si>
  <si>
    <t>A</t>
  </si>
  <si>
    <t>10th</t>
  </si>
  <si>
    <t>2025-26</t>
  </si>
  <si>
    <t>T3_English</t>
  </si>
  <si>
    <t>T3_Hindi</t>
  </si>
  <si>
    <t>T3_Maths</t>
  </si>
  <si>
    <t>T3_Science</t>
  </si>
  <si>
    <t>T3_SST</t>
  </si>
  <si>
    <t>T3_Total</t>
  </si>
  <si>
    <t>Final Total</t>
  </si>
  <si>
    <t>A-001</t>
  </si>
  <si>
    <t>A-002</t>
  </si>
  <si>
    <t>A-003</t>
  </si>
  <si>
    <t>A-004</t>
  </si>
  <si>
    <t>A-005</t>
  </si>
  <si>
    <t>Final Percentage (%)</t>
  </si>
  <si>
    <t>T3_Percent  (%)</t>
  </si>
  <si>
    <t>T2_Percent  (%)</t>
  </si>
  <si>
    <t>T1_Percent  (%)</t>
  </si>
  <si>
    <t>Address</t>
  </si>
  <si>
    <t>B</t>
  </si>
  <si>
    <t>Street 1, Lorem Ipsum City</t>
  </si>
  <si>
    <t>Street 2, Lorem Ipsum City</t>
  </si>
  <si>
    <t>Street 3, Lorem Ipsum City</t>
  </si>
  <si>
    <t>Street 4, Lorem Ipsum City</t>
  </si>
  <si>
    <t>Street 5, Lorem Ipsum City</t>
  </si>
  <si>
    <t>Avenue 1, Dolor Sit Area</t>
  </si>
  <si>
    <t>Avenue 2, Dolor Sit Area</t>
  </si>
  <si>
    <t>Avenue 3, Dolor Sit Area</t>
  </si>
  <si>
    <t>Avenue 4, Dolor Sit Area</t>
  </si>
  <si>
    <t>Avenue 5, Dolor Sit Area</t>
  </si>
  <si>
    <t>Mr. Lorem</t>
  </si>
  <si>
    <t>Mrs. Ipsum</t>
  </si>
  <si>
    <t>Mr. Lorem Ipsum</t>
  </si>
  <si>
    <t>B-001</t>
  </si>
  <si>
    <t>B-002</t>
  </si>
  <si>
    <t>B-003</t>
  </si>
  <si>
    <t>B-004</t>
  </si>
  <si>
    <t>B-005</t>
  </si>
  <si>
    <t>Section</t>
  </si>
  <si>
    <t>Eng Total</t>
  </si>
  <si>
    <t>Hindi Total</t>
  </si>
  <si>
    <t>Maths Total</t>
  </si>
  <si>
    <t>Science Total</t>
  </si>
  <si>
    <t>SST Total</t>
  </si>
  <si>
    <t>Lorem Ipsum High School Report Card (Academic Year - 2025-26)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</si>
  <si>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</si>
  <si>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</si>
  <si>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</si>
  <si>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</si>
  <si>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</si>
  <si>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</si>
  <si>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</si>
  <si>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</si>
  <si>
    <t>Student I</t>
  </si>
  <si>
    <t>Student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</si>
</sst>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B2B2B2"/>
      </bottom>
      <diagonal/>
    </border>
  </borders>
  <cellStyleXfs count="18">
    <xf numFmtId="0" fontId="0" fillId="0" borderId="0"/>
    <xf numFmtId="0" fontId="1" fillId="2" borderId="1" applyNumberFormat="0" applyFon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2" borderId="1" xfId="1" applyFont="1" applyAlignment="1"/>
    <xf numFmtId="0" fontId="1" fillId="7" borderId="1" xfId="6" applyBorder="1" applyAlignment="1"/>
    <xf numFmtId="0" fontId="1" fillId="11" borderId="1" xfId="10" applyBorder="1" applyAlignment="1"/>
    <xf numFmtId="0" fontId="1" fillId="12" borderId="1" xfId="11" applyBorder="1" applyAlignment="1"/>
    <xf numFmtId="0" fontId="1" fillId="6" borderId="1" xfId="5" applyBorder="1" applyAlignment="1"/>
    <xf numFmtId="0" fontId="1" fillId="8" borderId="1" xfId="7" applyBorder="1" applyAlignment="1"/>
    <xf numFmtId="0" fontId="1" fillId="9" borderId="1" xfId="8" applyBorder="1" applyAlignment="1"/>
    <xf numFmtId="0" fontId="1" fillId="5" borderId="1" xfId="4" applyBorder="1" applyAlignment="1"/>
    <xf numFmtId="0" fontId="3" fillId="3" borderId="1" xfId="2" applyBorder="1" applyAlignment="1"/>
    <xf numFmtId="0" fontId="2" fillId="4" borderId="1" xfId="3" applyFont="1" applyBorder="1" applyAlignment="1">
      <alignment vertical="center"/>
    </xf>
    <xf numFmtId="0" fontId="1" fillId="13" borderId="1" xfId="12" applyBorder="1" applyAlignment="1">
      <alignment horizontal="center"/>
    </xf>
    <xf numFmtId="0" fontId="3" fillId="10" borderId="1" xfId="9" applyBorder="1" applyAlignment="1">
      <alignment horizontal="center"/>
    </xf>
    <xf numFmtId="0" fontId="1" fillId="2" borderId="1" xfId="1" applyAlignment="1"/>
    <xf numFmtId="0" fontId="1" fillId="7" borderId="2" xfId="6" applyBorder="1" applyAlignment="1"/>
    <xf numFmtId="0" fontId="6" fillId="2" borderId="1" xfId="1" applyFont="1" applyAlignment="1"/>
    <xf numFmtId="0" fontId="3" fillId="16" borderId="1" xfId="15" applyBorder="1" applyAlignment="1"/>
    <xf numFmtId="0" fontId="1" fillId="11" borderId="2" xfId="10" applyBorder="1" applyAlignment="1"/>
    <xf numFmtId="0" fontId="1" fillId="17" borderId="1" xfId="16" applyBorder="1" applyAlignment="1"/>
    <xf numFmtId="0" fontId="1" fillId="18" borderId="1" xfId="17" applyBorder="1" applyAlignment="1"/>
    <xf numFmtId="0" fontId="1" fillId="15" borderId="1" xfId="14" applyBorder="1" applyAlignment="1"/>
    <xf numFmtId="0" fontId="1" fillId="4" borderId="1" xfId="3" applyBorder="1" applyAlignment="1"/>
    <xf numFmtId="0" fontId="1" fillId="14" borderId="1" xfId="13" applyBorder="1" applyAlignment="1"/>
    <xf numFmtId="0" fontId="5" fillId="3" borderId="3" xfId="2" applyFont="1" applyBorder="1" applyAlignment="1">
      <alignment vertical="center"/>
    </xf>
  </cellXfs>
  <cellStyles count="18">
    <cellStyle name="20% - Accent1" xfId="3" builtinId="30"/>
    <cellStyle name="20% - Accent3" xfId="6" builtinId="38"/>
    <cellStyle name="20% - Accent4" xfId="7" builtinId="42"/>
    <cellStyle name="20% - Accent5" xfId="16" builtinId="46"/>
    <cellStyle name="20% - Accent6" xfId="10" builtinId="50"/>
    <cellStyle name="40% - Accent1" xfId="13" builtinId="31"/>
    <cellStyle name="40% - Accent2" xfId="5" builtinId="35"/>
    <cellStyle name="40% - Accent4" xfId="8" builtinId="43"/>
    <cellStyle name="40% - Accent5" xfId="17" builtinId="47"/>
    <cellStyle name="40% - Accent6" xfId="11" builtinId="51"/>
    <cellStyle name="60% - Accent1" xfId="4" builtinId="32"/>
    <cellStyle name="60% - Accent4" xfId="14" builtinId="44"/>
    <cellStyle name="60% - Accent6" xfId="12" builtinId="52"/>
    <cellStyle name="Accent1" xfId="2" builtinId="29"/>
    <cellStyle name="Accent5" xfId="15" builtinId="45"/>
    <cellStyle name="Accent6" xfId="9" builtinId="49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D544-15B4-41C8-A28F-37D6313C1131}">
  <dimension ref="A1:AN11"/>
  <sheetViews>
    <sheetView tabSelected="1" workbookViewId="0">
      <pane ySplit="1" topLeftCell="A2" activePane="bottomLeft" state="frozen"/>
      <selection activeCell="U1" sqref="U1"/>
      <selection pane="bottomLeft" activeCell="A2" sqref="A2"/>
    </sheetView>
  </sheetViews>
  <sheetFormatPr defaultRowHeight="15" x14ac:dyDescent="0.25"/>
  <cols>
    <col min="1" max="1" width="10.28515625" style="1" bestFit="1" customWidth="1"/>
    <col min="2" max="2" width="13.85546875" style="1" bestFit="1" customWidth="1"/>
    <col min="3" max="3" width="5.42578125" style="1" bestFit="1" customWidth="1"/>
    <col min="4" max="4" width="12.42578125" style="1" bestFit="1" customWidth="1"/>
    <col min="5" max="5" width="8" style="1" bestFit="1" customWidth="1"/>
    <col min="6" max="6" width="24.5703125" style="1" bestFit="1" customWidth="1"/>
    <col min="7" max="7" width="14.140625" style="1" bestFit="1" customWidth="1"/>
    <col min="8" max="8" width="10.28515625" style="1" bestFit="1" customWidth="1"/>
    <col min="9" max="9" width="8.7109375" style="1" bestFit="1" customWidth="1"/>
    <col min="10" max="10" width="9.5703125" style="1" bestFit="1" customWidth="1"/>
    <col min="11" max="11" width="10.7109375" style="1" bestFit="1" customWidth="1"/>
    <col min="12" max="12" width="7" style="1" bestFit="1" customWidth="1"/>
    <col min="13" max="13" width="8.42578125" style="1" bestFit="1" customWidth="1"/>
    <col min="14" max="14" width="14.85546875" style="1" bestFit="1" customWidth="1"/>
    <col min="15" max="15" width="10.28515625" style="1" bestFit="1" customWidth="1"/>
    <col min="16" max="16" width="8.7109375" style="1" bestFit="1" customWidth="1"/>
    <col min="17" max="17" width="9.5703125" style="1" bestFit="1" customWidth="1"/>
    <col min="18" max="18" width="10.7109375" style="1" bestFit="1" customWidth="1"/>
    <col min="19" max="19" width="7" style="1" bestFit="1" customWidth="1"/>
    <col min="20" max="20" width="8.42578125" style="1" bestFit="1" customWidth="1"/>
    <col min="21" max="21" width="14.85546875" style="1" bestFit="1" customWidth="1"/>
    <col min="22" max="22" width="10.28515625" style="1" bestFit="1" customWidth="1"/>
    <col min="23" max="23" width="8.7109375" style="1" bestFit="1" customWidth="1"/>
    <col min="24" max="24" width="9.5703125" style="1" bestFit="1" customWidth="1"/>
    <col min="25" max="25" width="10.7109375" style="1" bestFit="1" customWidth="1"/>
    <col min="26" max="26" width="7" style="1" bestFit="1" customWidth="1"/>
    <col min="27" max="27" width="8.42578125" style="1" bestFit="1" customWidth="1"/>
    <col min="28" max="28" width="14.85546875" style="1" bestFit="1" customWidth="1"/>
    <col min="29" max="29" width="9" style="1" bestFit="1" customWidth="1"/>
    <col min="30" max="30" width="10.5703125" style="1" bestFit="1" customWidth="1"/>
    <col min="31" max="31" width="11.42578125" style="1" bestFit="1" customWidth="1"/>
    <col min="32" max="32" width="12.5703125" style="1" bestFit="1" customWidth="1"/>
    <col min="33" max="33" width="8.85546875" style="1" bestFit="1" customWidth="1"/>
    <col min="34" max="34" width="10.140625" style="1" bestFit="1" customWidth="1"/>
    <col min="35" max="35" width="19.42578125" style="1" bestFit="1" customWidth="1"/>
    <col min="36" max="36" width="11.140625" style="1" bestFit="1" customWidth="1"/>
    <col min="37" max="37" width="11.28515625" style="1" bestFit="1" customWidth="1"/>
    <col min="38" max="38" width="44.140625" style="1" bestFit="1" customWidth="1"/>
    <col min="39" max="39" width="12.85546875" style="1" bestFit="1" customWidth="1"/>
    <col min="40" max="40" width="16" style="1" bestFit="1" customWidth="1"/>
    <col min="41" max="16384" width="9.140625" style="1"/>
  </cols>
  <sheetData>
    <row r="1" spans="1:40" customFormat="1" ht="24.95" customHeight="1" x14ac:dyDescent="0.25">
      <c r="A1" s="12" t="s">
        <v>0</v>
      </c>
      <c r="B1" s="12" t="s">
        <v>1</v>
      </c>
      <c r="C1" s="12" t="s">
        <v>2</v>
      </c>
      <c r="D1" s="12" t="s">
        <v>61</v>
      </c>
      <c r="E1" s="12" t="s">
        <v>3</v>
      </c>
      <c r="F1" s="12" t="s">
        <v>41</v>
      </c>
      <c r="G1" s="12" t="s">
        <v>4</v>
      </c>
      <c r="H1" s="12" t="s">
        <v>6</v>
      </c>
      <c r="I1" s="12" t="s">
        <v>9</v>
      </c>
      <c r="J1" s="12" t="s">
        <v>5</v>
      </c>
      <c r="K1" s="12" t="s">
        <v>7</v>
      </c>
      <c r="L1" s="12" t="s">
        <v>8</v>
      </c>
      <c r="M1" s="12" t="s">
        <v>10</v>
      </c>
      <c r="N1" s="12" t="s">
        <v>40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39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38</v>
      </c>
      <c r="AC1" s="12" t="s">
        <v>62</v>
      </c>
      <c r="AD1" s="12" t="s">
        <v>63</v>
      </c>
      <c r="AE1" s="12" t="s">
        <v>64</v>
      </c>
      <c r="AF1" s="12" t="s">
        <v>65</v>
      </c>
      <c r="AG1" s="12" t="s">
        <v>66</v>
      </c>
      <c r="AH1" s="12" t="s">
        <v>31</v>
      </c>
      <c r="AI1" s="12" t="s">
        <v>37</v>
      </c>
      <c r="AJ1" s="12" t="s">
        <v>17</v>
      </c>
      <c r="AK1" s="12" t="s">
        <v>18</v>
      </c>
      <c r="AL1" s="12" t="s">
        <v>19</v>
      </c>
      <c r="AM1" s="12" t="s">
        <v>20</v>
      </c>
      <c r="AN1" s="12" t="s">
        <v>21</v>
      </c>
    </row>
    <row r="2" spans="1:40" ht="24.95" customHeight="1" x14ac:dyDescent="0.25">
      <c r="A2" s="3" t="s">
        <v>32</v>
      </c>
      <c r="B2" s="9" t="s">
        <v>68</v>
      </c>
      <c r="C2" s="1" t="s">
        <v>23</v>
      </c>
      <c r="D2" s="2" t="s">
        <v>22</v>
      </c>
      <c r="E2" s="2">
        <v>1</v>
      </c>
      <c r="F2" s="15" t="s">
        <v>43</v>
      </c>
      <c r="G2" s="2" t="s">
        <v>24</v>
      </c>
      <c r="H2" s="23">
        <v>90</v>
      </c>
      <c r="I2" s="23">
        <v>92</v>
      </c>
      <c r="J2" s="23">
        <v>98</v>
      </c>
      <c r="K2" s="23">
        <v>95</v>
      </c>
      <c r="L2" s="23">
        <v>85</v>
      </c>
      <c r="M2" s="24">
        <f>SUM(H2:L2)</f>
        <v>460</v>
      </c>
      <c r="N2" s="11">
        <f>(M2/500)*100</f>
        <v>92</v>
      </c>
      <c r="O2" s="8">
        <v>90</v>
      </c>
      <c r="P2" s="8">
        <v>90</v>
      </c>
      <c r="Q2" s="8">
        <v>92</v>
      </c>
      <c r="R2" s="8">
        <v>95</v>
      </c>
      <c r="S2" s="8">
        <v>98</v>
      </c>
      <c r="T2" s="9">
        <f>SUM(O2:S2)</f>
        <v>465</v>
      </c>
      <c r="U2" s="22">
        <f>(T2/500)*100</f>
        <v>93</v>
      </c>
      <c r="V2" s="20">
        <v>95</v>
      </c>
      <c r="W2" s="20">
        <v>96</v>
      </c>
      <c r="X2" s="20">
        <v>93</v>
      </c>
      <c r="Y2" s="20">
        <v>87</v>
      </c>
      <c r="Z2" s="20">
        <v>84</v>
      </c>
      <c r="AA2" s="21">
        <f>SUM(V2:Z2)</f>
        <v>455</v>
      </c>
      <c r="AB2" s="18">
        <f>(AA2/500)*100</f>
        <v>91</v>
      </c>
      <c r="AC2" s="19">
        <f>SUM(H2,O2,V2)</f>
        <v>275</v>
      </c>
      <c r="AD2" s="19">
        <f>SUM(I2,P2,W2)</f>
        <v>278</v>
      </c>
      <c r="AE2" s="19">
        <f>SUM(J2,Q2,X2)</f>
        <v>283</v>
      </c>
      <c r="AF2" s="19">
        <f>SUM(K2,R2,Y2)</f>
        <v>277</v>
      </c>
      <c r="AG2" s="19">
        <f>SUM(L2,S2,Z2)</f>
        <v>267</v>
      </c>
      <c r="AH2" s="5">
        <f t="shared" ref="AH2:AH11" si="0">SUM(M2, T2, AA2)</f>
        <v>1380</v>
      </c>
      <c r="AI2" s="6">
        <f>(AH2/1500)*100</f>
        <v>92</v>
      </c>
      <c r="AJ2" s="13" t="str">
        <f>IF(AI2&gt;=90,"A+",
IF(AI2&gt;=80,"A",
IF(AI2&gt;=70,"B+",
IF(AI2&gt;=60,"B",
IF(AI2&gt;=50,"C",
"F")))))</f>
        <v>A+</v>
      </c>
      <c r="AK2" s="14" t="str">
        <f>IF(AI2&gt;=40,"PASS","FAIL")</f>
        <v>PASS</v>
      </c>
      <c r="AL2" s="17" t="str">
        <f>IF(AI2&gt;=90,"Outstanding performance. Keep it up!",
IF(AI2&gt;=80,"Excellent work. Very consistent performance.",
IF(AI2&gt;=70,"Good performance. Can do even better.",
IF(AI2&gt;=60,"Satisfactory performance. Needs more practice.",
IF(AI2&gt;=50,"Needs improvement. More focus required.",
"Serious improvement required.")))))</f>
        <v>Outstanding performance. Keep it up!</v>
      </c>
      <c r="AM2" s="8" t="s">
        <v>53</v>
      </c>
      <c r="AN2" s="7" t="s">
        <v>55</v>
      </c>
    </row>
    <row r="3" spans="1:40" ht="24.95" customHeight="1" x14ac:dyDescent="0.25">
      <c r="A3" s="3" t="s">
        <v>33</v>
      </c>
      <c r="B3" s="9" t="s">
        <v>69</v>
      </c>
      <c r="C3" s="1" t="s">
        <v>23</v>
      </c>
      <c r="D3" s="2" t="s">
        <v>22</v>
      </c>
      <c r="E3" s="2">
        <v>2</v>
      </c>
      <c r="F3" s="15" t="s">
        <v>44</v>
      </c>
      <c r="G3" s="2" t="s">
        <v>24</v>
      </c>
      <c r="H3" s="23">
        <v>85</v>
      </c>
      <c r="I3" s="23">
        <v>89</v>
      </c>
      <c r="J3" s="23">
        <v>82</v>
      </c>
      <c r="K3" s="23">
        <v>80</v>
      </c>
      <c r="L3" s="23">
        <v>69</v>
      </c>
      <c r="M3" s="24">
        <f t="shared" ref="M3:M11" si="1">SUM(H3:L3)</f>
        <v>405</v>
      </c>
      <c r="N3" s="11">
        <f t="shared" ref="N3:N11" si="2">(M3/500)*100</f>
        <v>81</v>
      </c>
      <c r="O3" s="8">
        <v>69</v>
      </c>
      <c r="P3" s="8">
        <v>80</v>
      </c>
      <c r="Q3" s="8">
        <v>82</v>
      </c>
      <c r="R3" s="8">
        <v>85</v>
      </c>
      <c r="S3" s="8">
        <v>89</v>
      </c>
      <c r="T3" s="9">
        <f t="shared" ref="T3:T11" si="3">SUM(O3:S3)</f>
        <v>405</v>
      </c>
      <c r="U3" s="22">
        <f t="shared" ref="U3:U11" si="4">(T3/500)*100</f>
        <v>81</v>
      </c>
      <c r="V3" s="20">
        <v>89</v>
      </c>
      <c r="W3" s="20">
        <v>85</v>
      </c>
      <c r="X3" s="20">
        <v>82</v>
      </c>
      <c r="Y3" s="20">
        <v>80</v>
      </c>
      <c r="Z3" s="20">
        <v>69</v>
      </c>
      <c r="AA3" s="21">
        <f t="shared" ref="AA3:AA11" si="5">SUM(V3:Z3)</f>
        <v>405</v>
      </c>
      <c r="AB3" s="18">
        <f t="shared" ref="AB3:AB11" si="6">(AA3/500)*100</f>
        <v>81</v>
      </c>
      <c r="AC3" s="19">
        <f t="shared" ref="AC3:AC11" si="7">SUM(H3,O3,V3)</f>
        <v>243</v>
      </c>
      <c r="AD3" s="19">
        <f t="shared" ref="AD3:AD11" si="8">SUM(I3,P3,W3)</f>
        <v>254</v>
      </c>
      <c r="AE3" s="19">
        <f t="shared" ref="AE3:AE11" si="9">SUM(J3,Q3,X3)</f>
        <v>246</v>
      </c>
      <c r="AF3" s="19">
        <f t="shared" ref="AF3:AF11" si="10">SUM(K3,R3,Y3)</f>
        <v>245</v>
      </c>
      <c r="AG3" s="19">
        <f t="shared" ref="AG3:AG11" si="11">SUM(L3,S3,Z3)</f>
        <v>227</v>
      </c>
      <c r="AH3" s="5">
        <f t="shared" si="0"/>
        <v>1215</v>
      </c>
      <c r="AI3" s="6">
        <f>(AH3/1500)*100</f>
        <v>81</v>
      </c>
      <c r="AJ3" s="13" t="str">
        <f t="shared" ref="AJ3:AJ11" si="12">IF(AI3&gt;=90,"A+",
IF(AI3&gt;=80,"A",
IF(AI3&gt;=70,"B+",
IF(AI3&gt;=60,"B",
IF(AI3&gt;=50,"C",
"F")))))</f>
        <v>A</v>
      </c>
      <c r="AK3" s="14" t="str">
        <f t="shared" ref="AK3:AK11" si="13">IF(AI3&gt;=40,"PASS","FAIL")</f>
        <v>PASS</v>
      </c>
      <c r="AL3" s="17" t="str">
        <f t="shared" ref="AL3:AL10" si="14">IF(AI3&gt;=90,"Outstanding performance. Keep it up!",
IF(AI3&gt;=80,"Excellent work. Very consistent performance.",
IF(AI3&gt;=70,"Good performance. Can do even better.",
IF(AI3&gt;=60,"Satisfactory performance. Needs more practice.",
IF(AI3&gt;=50,"Needs improvement. More focus required.",
"Serious improvement required.")))))</f>
        <v>Excellent work. Very consistent performance.</v>
      </c>
      <c r="AM3" s="8" t="s">
        <v>53</v>
      </c>
      <c r="AN3" s="7" t="s">
        <v>55</v>
      </c>
    </row>
    <row r="4" spans="1:40" ht="24.95" customHeight="1" x14ac:dyDescent="0.25">
      <c r="A4" s="3" t="s">
        <v>34</v>
      </c>
      <c r="B4" s="9" t="s">
        <v>70</v>
      </c>
      <c r="C4" s="1" t="s">
        <v>23</v>
      </c>
      <c r="D4" s="2" t="s">
        <v>22</v>
      </c>
      <c r="E4" s="2">
        <v>3</v>
      </c>
      <c r="F4" s="15" t="s">
        <v>45</v>
      </c>
      <c r="G4" s="2" t="s">
        <v>24</v>
      </c>
      <c r="H4" s="23">
        <v>74</v>
      </c>
      <c r="I4" s="23">
        <v>65</v>
      </c>
      <c r="J4" s="23">
        <v>69</v>
      </c>
      <c r="K4" s="23">
        <v>71</v>
      </c>
      <c r="L4" s="23">
        <v>61</v>
      </c>
      <c r="M4" s="24">
        <f t="shared" si="1"/>
        <v>340</v>
      </c>
      <c r="N4" s="11">
        <f t="shared" si="2"/>
        <v>68</v>
      </c>
      <c r="O4" s="8">
        <v>61</v>
      </c>
      <c r="P4" s="8">
        <v>47</v>
      </c>
      <c r="Q4" s="8">
        <v>85</v>
      </c>
      <c r="R4" s="8">
        <v>78</v>
      </c>
      <c r="S4" s="8">
        <v>64</v>
      </c>
      <c r="T4" s="9">
        <f t="shared" si="3"/>
        <v>335</v>
      </c>
      <c r="U4" s="22">
        <f t="shared" si="4"/>
        <v>67</v>
      </c>
      <c r="V4" s="20">
        <v>81</v>
      </c>
      <c r="W4" s="20">
        <v>72</v>
      </c>
      <c r="X4" s="20">
        <v>78</v>
      </c>
      <c r="Y4" s="20">
        <v>75</v>
      </c>
      <c r="Z4" s="20">
        <v>69</v>
      </c>
      <c r="AA4" s="21">
        <f t="shared" si="5"/>
        <v>375</v>
      </c>
      <c r="AB4" s="18">
        <f t="shared" si="6"/>
        <v>75</v>
      </c>
      <c r="AC4" s="19">
        <f t="shared" si="7"/>
        <v>216</v>
      </c>
      <c r="AD4" s="19">
        <f t="shared" si="8"/>
        <v>184</v>
      </c>
      <c r="AE4" s="19">
        <f t="shared" si="9"/>
        <v>232</v>
      </c>
      <c r="AF4" s="19">
        <f t="shared" si="10"/>
        <v>224</v>
      </c>
      <c r="AG4" s="19">
        <f t="shared" si="11"/>
        <v>194</v>
      </c>
      <c r="AH4" s="5">
        <f t="shared" si="0"/>
        <v>1050</v>
      </c>
      <c r="AI4" s="6">
        <f t="shared" ref="AI4:AI11" si="15">(AH4/1500)*100</f>
        <v>70</v>
      </c>
      <c r="AJ4" s="13" t="str">
        <f t="shared" si="12"/>
        <v>B+</v>
      </c>
      <c r="AK4" s="14" t="str">
        <f t="shared" si="13"/>
        <v>PASS</v>
      </c>
      <c r="AL4" s="17" t="str">
        <f t="shared" si="14"/>
        <v>Good performance. Can do even better.</v>
      </c>
      <c r="AM4" s="8" t="s">
        <v>53</v>
      </c>
      <c r="AN4" s="7" t="s">
        <v>55</v>
      </c>
    </row>
    <row r="5" spans="1:40" ht="24.95" customHeight="1" x14ac:dyDescent="0.25">
      <c r="A5" s="3" t="s">
        <v>35</v>
      </c>
      <c r="B5" s="9" t="s">
        <v>71</v>
      </c>
      <c r="C5" s="1" t="s">
        <v>23</v>
      </c>
      <c r="D5" s="2" t="s">
        <v>22</v>
      </c>
      <c r="E5" s="2">
        <v>4</v>
      </c>
      <c r="F5" s="15" t="s">
        <v>46</v>
      </c>
      <c r="G5" s="2" t="s">
        <v>24</v>
      </c>
      <c r="H5" s="23">
        <v>67</v>
      </c>
      <c r="I5" s="23">
        <v>50</v>
      </c>
      <c r="J5" s="23">
        <v>63</v>
      </c>
      <c r="K5" s="23">
        <v>55</v>
      </c>
      <c r="L5" s="23">
        <v>80</v>
      </c>
      <c r="M5" s="24">
        <f t="shared" si="1"/>
        <v>315</v>
      </c>
      <c r="N5" s="11">
        <f t="shared" si="2"/>
        <v>63</v>
      </c>
      <c r="O5" s="8">
        <v>50</v>
      </c>
      <c r="P5" s="8">
        <v>55</v>
      </c>
      <c r="Q5" s="8">
        <v>63</v>
      </c>
      <c r="R5" s="8">
        <v>67</v>
      </c>
      <c r="S5" s="8">
        <v>80</v>
      </c>
      <c r="T5" s="9">
        <f t="shared" si="3"/>
        <v>315</v>
      </c>
      <c r="U5" s="22">
        <f t="shared" si="4"/>
        <v>63</v>
      </c>
      <c r="V5" s="20">
        <v>80</v>
      </c>
      <c r="W5" s="20">
        <v>67</v>
      </c>
      <c r="X5" s="20">
        <v>63</v>
      </c>
      <c r="Y5" s="20">
        <v>55</v>
      </c>
      <c r="Z5" s="20">
        <v>50</v>
      </c>
      <c r="AA5" s="21">
        <f t="shared" si="5"/>
        <v>315</v>
      </c>
      <c r="AB5" s="18">
        <f t="shared" si="6"/>
        <v>63</v>
      </c>
      <c r="AC5" s="19">
        <f t="shared" si="7"/>
        <v>197</v>
      </c>
      <c r="AD5" s="19">
        <f t="shared" si="8"/>
        <v>172</v>
      </c>
      <c r="AE5" s="19">
        <f t="shared" si="9"/>
        <v>189</v>
      </c>
      <c r="AF5" s="19">
        <f t="shared" si="10"/>
        <v>177</v>
      </c>
      <c r="AG5" s="19">
        <f t="shared" si="11"/>
        <v>210</v>
      </c>
      <c r="AH5" s="5">
        <f t="shared" si="0"/>
        <v>945</v>
      </c>
      <c r="AI5" s="6">
        <f t="shared" si="15"/>
        <v>63</v>
      </c>
      <c r="AJ5" s="13" t="str">
        <f t="shared" si="12"/>
        <v>B</v>
      </c>
      <c r="AK5" s="14" t="str">
        <f t="shared" si="13"/>
        <v>PASS</v>
      </c>
      <c r="AL5" s="17" t="str">
        <f t="shared" si="14"/>
        <v>Satisfactory performance. Needs more practice.</v>
      </c>
      <c r="AM5" s="8" t="s">
        <v>53</v>
      </c>
      <c r="AN5" s="7" t="s">
        <v>55</v>
      </c>
    </row>
    <row r="6" spans="1:40" ht="24.95" customHeight="1" x14ac:dyDescent="0.25">
      <c r="A6" s="3" t="s">
        <v>36</v>
      </c>
      <c r="B6" s="9" t="s">
        <v>72</v>
      </c>
      <c r="C6" s="1" t="s">
        <v>23</v>
      </c>
      <c r="D6" s="2" t="s">
        <v>22</v>
      </c>
      <c r="E6" s="2">
        <v>5</v>
      </c>
      <c r="F6" s="15" t="s">
        <v>47</v>
      </c>
      <c r="G6" s="2" t="s">
        <v>24</v>
      </c>
      <c r="H6" s="23">
        <v>80</v>
      </c>
      <c r="I6" s="23">
        <v>78</v>
      </c>
      <c r="J6" s="23">
        <v>71</v>
      </c>
      <c r="K6" s="23">
        <v>68</v>
      </c>
      <c r="L6" s="23">
        <v>63</v>
      </c>
      <c r="M6" s="24">
        <f t="shared" si="1"/>
        <v>360</v>
      </c>
      <c r="N6" s="11">
        <f t="shared" si="2"/>
        <v>72</v>
      </c>
      <c r="O6" s="8">
        <v>74</v>
      </c>
      <c r="P6" s="8">
        <v>65</v>
      </c>
      <c r="Q6" s="8">
        <v>69</v>
      </c>
      <c r="R6" s="8">
        <v>71</v>
      </c>
      <c r="S6" s="8">
        <v>61</v>
      </c>
      <c r="T6" s="9">
        <f t="shared" si="3"/>
        <v>340</v>
      </c>
      <c r="U6" s="22">
        <f t="shared" si="4"/>
        <v>68</v>
      </c>
      <c r="V6" s="20">
        <v>74</v>
      </c>
      <c r="W6" s="20">
        <v>74</v>
      </c>
      <c r="X6" s="20">
        <v>70</v>
      </c>
      <c r="Y6" s="20">
        <v>71</v>
      </c>
      <c r="Z6" s="20">
        <v>61</v>
      </c>
      <c r="AA6" s="21">
        <f t="shared" si="5"/>
        <v>350</v>
      </c>
      <c r="AB6" s="18">
        <f t="shared" si="6"/>
        <v>70</v>
      </c>
      <c r="AC6" s="19">
        <f t="shared" si="7"/>
        <v>228</v>
      </c>
      <c r="AD6" s="19">
        <f t="shared" si="8"/>
        <v>217</v>
      </c>
      <c r="AE6" s="19">
        <f t="shared" si="9"/>
        <v>210</v>
      </c>
      <c r="AF6" s="19">
        <f t="shared" si="10"/>
        <v>210</v>
      </c>
      <c r="AG6" s="19">
        <f t="shared" si="11"/>
        <v>185</v>
      </c>
      <c r="AH6" s="5">
        <f t="shared" si="0"/>
        <v>1050</v>
      </c>
      <c r="AI6" s="6">
        <f t="shared" si="15"/>
        <v>70</v>
      </c>
      <c r="AJ6" s="13" t="str">
        <f t="shared" si="12"/>
        <v>B+</v>
      </c>
      <c r="AK6" s="14" t="str">
        <f t="shared" si="13"/>
        <v>PASS</v>
      </c>
      <c r="AL6" s="17" t="str">
        <f t="shared" si="14"/>
        <v>Good performance. Can do even better.</v>
      </c>
      <c r="AM6" s="8" t="s">
        <v>53</v>
      </c>
      <c r="AN6" s="7" t="s">
        <v>55</v>
      </c>
    </row>
    <row r="7" spans="1:40" ht="24.95" customHeight="1" x14ac:dyDescent="0.25">
      <c r="A7" s="3" t="s">
        <v>56</v>
      </c>
      <c r="B7" s="9" t="s">
        <v>73</v>
      </c>
      <c r="C7" s="1" t="s">
        <v>23</v>
      </c>
      <c r="D7" s="2" t="s">
        <v>42</v>
      </c>
      <c r="E7" s="2">
        <v>1</v>
      </c>
      <c r="F7" s="15" t="s">
        <v>48</v>
      </c>
      <c r="G7" s="2" t="s">
        <v>24</v>
      </c>
      <c r="H7" s="23">
        <v>85</v>
      </c>
      <c r="I7" s="23">
        <v>73</v>
      </c>
      <c r="J7" s="23">
        <v>81</v>
      </c>
      <c r="K7" s="23">
        <v>75</v>
      </c>
      <c r="L7" s="23">
        <v>56</v>
      </c>
      <c r="M7" s="24">
        <f t="shared" si="1"/>
        <v>370</v>
      </c>
      <c r="N7" s="11">
        <f t="shared" si="2"/>
        <v>74</v>
      </c>
      <c r="O7" s="8">
        <v>74</v>
      </c>
      <c r="P7" s="8">
        <v>69</v>
      </c>
      <c r="Q7" s="8">
        <v>78</v>
      </c>
      <c r="R7" s="8">
        <v>62</v>
      </c>
      <c r="S7" s="8">
        <v>87</v>
      </c>
      <c r="T7" s="9">
        <f t="shared" si="3"/>
        <v>370</v>
      </c>
      <c r="U7" s="22">
        <f t="shared" si="4"/>
        <v>74</v>
      </c>
      <c r="V7" s="20">
        <v>74</v>
      </c>
      <c r="W7" s="20">
        <v>69</v>
      </c>
      <c r="X7" s="20">
        <v>78</v>
      </c>
      <c r="Y7" s="20">
        <v>62</v>
      </c>
      <c r="Z7" s="20">
        <v>87</v>
      </c>
      <c r="AA7" s="21">
        <f t="shared" si="5"/>
        <v>370</v>
      </c>
      <c r="AB7" s="18">
        <f t="shared" si="6"/>
        <v>74</v>
      </c>
      <c r="AC7" s="19">
        <f t="shared" si="7"/>
        <v>233</v>
      </c>
      <c r="AD7" s="19">
        <f t="shared" si="8"/>
        <v>211</v>
      </c>
      <c r="AE7" s="19">
        <f t="shared" si="9"/>
        <v>237</v>
      </c>
      <c r="AF7" s="19">
        <f t="shared" si="10"/>
        <v>199</v>
      </c>
      <c r="AG7" s="19">
        <f t="shared" si="11"/>
        <v>230</v>
      </c>
      <c r="AH7" s="5">
        <f t="shared" si="0"/>
        <v>1110</v>
      </c>
      <c r="AI7" s="6">
        <f t="shared" si="15"/>
        <v>74</v>
      </c>
      <c r="AJ7" s="13" t="str">
        <f t="shared" si="12"/>
        <v>B+</v>
      </c>
      <c r="AK7" s="14" t="str">
        <f t="shared" si="13"/>
        <v>PASS</v>
      </c>
      <c r="AL7" s="17" t="str">
        <f t="shared" si="14"/>
        <v>Good performance. Can do even better.</v>
      </c>
      <c r="AM7" s="8" t="s">
        <v>54</v>
      </c>
      <c r="AN7" s="7" t="s">
        <v>55</v>
      </c>
    </row>
    <row r="8" spans="1:40" ht="24.95" customHeight="1" x14ac:dyDescent="0.25">
      <c r="A8" s="3" t="s">
        <v>57</v>
      </c>
      <c r="B8" s="9" t="s">
        <v>74</v>
      </c>
      <c r="C8" s="1" t="s">
        <v>23</v>
      </c>
      <c r="D8" s="2" t="s">
        <v>42</v>
      </c>
      <c r="E8" s="2">
        <v>2</v>
      </c>
      <c r="F8" s="15" t="s">
        <v>49</v>
      </c>
      <c r="G8" s="2" t="s">
        <v>24</v>
      </c>
      <c r="H8" s="23">
        <v>61</v>
      </c>
      <c r="I8" s="23">
        <v>69</v>
      </c>
      <c r="J8" s="23">
        <v>71</v>
      </c>
      <c r="K8" s="23">
        <v>75</v>
      </c>
      <c r="L8" s="23">
        <v>69</v>
      </c>
      <c r="M8" s="24">
        <f t="shared" si="1"/>
        <v>345</v>
      </c>
      <c r="N8" s="11">
        <f t="shared" si="2"/>
        <v>69</v>
      </c>
      <c r="O8" s="8">
        <v>80</v>
      </c>
      <c r="P8" s="8">
        <v>78</v>
      </c>
      <c r="Q8" s="8">
        <v>71</v>
      </c>
      <c r="R8" s="8">
        <v>68</v>
      </c>
      <c r="S8" s="8">
        <v>63</v>
      </c>
      <c r="T8" s="9">
        <f t="shared" si="3"/>
        <v>360</v>
      </c>
      <c r="U8" s="22">
        <f t="shared" si="4"/>
        <v>72</v>
      </c>
      <c r="V8" s="20">
        <v>67</v>
      </c>
      <c r="W8" s="20">
        <v>75</v>
      </c>
      <c r="X8" s="20">
        <v>63</v>
      </c>
      <c r="Y8" s="20">
        <v>75</v>
      </c>
      <c r="Z8" s="20">
        <v>80</v>
      </c>
      <c r="AA8" s="21">
        <f t="shared" si="5"/>
        <v>360</v>
      </c>
      <c r="AB8" s="18">
        <f t="shared" si="6"/>
        <v>72</v>
      </c>
      <c r="AC8" s="19">
        <f t="shared" si="7"/>
        <v>208</v>
      </c>
      <c r="AD8" s="19">
        <f t="shared" si="8"/>
        <v>222</v>
      </c>
      <c r="AE8" s="19">
        <f t="shared" si="9"/>
        <v>205</v>
      </c>
      <c r="AF8" s="19">
        <f t="shared" si="10"/>
        <v>218</v>
      </c>
      <c r="AG8" s="19">
        <f t="shared" si="11"/>
        <v>212</v>
      </c>
      <c r="AH8" s="5">
        <f t="shared" si="0"/>
        <v>1065</v>
      </c>
      <c r="AI8" s="6">
        <f t="shared" si="15"/>
        <v>71</v>
      </c>
      <c r="AJ8" s="13" t="str">
        <f t="shared" si="12"/>
        <v>B+</v>
      </c>
      <c r="AK8" s="14" t="str">
        <f t="shared" si="13"/>
        <v>PASS</v>
      </c>
      <c r="AL8" s="17" t="str">
        <f t="shared" si="14"/>
        <v>Good performance. Can do even better.</v>
      </c>
      <c r="AM8" s="8" t="s">
        <v>54</v>
      </c>
      <c r="AN8" s="7" t="s">
        <v>55</v>
      </c>
    </row>
    <row r="9" spans="1:40" ht="24.95" customHeight="1" x14ac:dyDescent="0.25">
      <c r="A9" s="3" t="s">
        <v>58</v>
      </c>
      <c r="B9" s="9" t="s">
        <v>75</v>
      </c>
      <c r="C9" s="1" t="s">
        <v>23</v>
      </c>
      <c r="D9" s="2" t="s">
        <v>42</v>
      </c>
      <c r="E9" s="2">
        <v>3</v>
      </c>
      <c r="F9" s="15" t="s">
        <v>50</v>
      </c>
      <c r="G9" s="2" t="s">
        <v>24</v>
      </c>
      <c r="H9" s="23">
        <v>57</v>
      </c>
      <c r="I9" s="23">
        <v>53</v>
      </c>
      <c r="J9" s="23">
        <v>64</v>
      </c>
      <c r="K9" s="23">
        <v>70</v>
      </c>
      <c r="L9" s="23">
        <v>66</v>
      </c>
      <c r="M9" s="24">
        <f t="shared" si="1"/>
        <v>310</v>
      </c>
      <c r="N9" s="11">
        <f t="shared" si="2"/>
        <v>62</v>
      </c>
      <c r="O9" s="8">
        <v>53</v>
      </c>
      <c r="P9" s="8">
        <v>57</v>
      </c>
      <c r="Q9" s="8">
        <v>64</v>
      </c>
      <c r="R9" s="8">
        <v>66</v>
      </c>
      <c r="S9" s="8">
        <v>70</v>
      </c>
      <c r="T9" s="9">
        <f t="shared" si="3"/>
        <v>310</v>
      </c>
      <c r="U9" s="22">
        <f t="shared" si="4"/>
        <v>62</v>
      </c>
      <c r="V9" s="20">
        <v>70</v>
      </c>
      <c r="W9" s="20">
        <v>66</v>
      </c>
      <c r="X9" s="20">
        <v>64</v>
      </c>
      <c r="Y9" s="20">
        <v>57</v>
      </c>
      <c r="Z9" s="20">
        <v>53</v>
      </c>
      <c r="AA9" s="21">
        <f t="shared" si="5"/>
        <v>310</v>
      </c>
      <c r="AB9" s="18">
        <f t="shared" si="6"/>
        <v>62</v>
      </c>
      <c r="AC9" s="19">
        <f t="shared" si="7"/>
        <v>180</v>
      </c>
      <c r="AD9" s="19">
        <f t="shared" si="8"/>
        <v>176</v>
      </c>
      <c r="AE9" s="19">
        <f t="shared" si="9"/>
        <v>192</v>
      </c>
      <c r="AF9" s="19">
        <f t="shared" si="10"/>
        <v>193</v>
      </c>
      <c r="AG9" s="19">
        <f t="shared" si="11"/>
        <v>189</v>
      </c>
      <c r="AH9" s="5">
        <f t="shared" si="0"/>
        <v>930</v>
      </c>
      <c r="AI9" s="6">
        <f t="shared" si="15"/>
        <v>62</v>
      </c>
      <c r="AJ9" s="13" t="str">
        <f t="shared" si="12"/>
        <v>B</v>
      </c>
      <c r="AK9" s="14" t="str">
        <f t="shared" si="13"/>
        <v>PASS</v>
      </c>
      <c r="AL9" s="17" t="str">
        <f t="shared" si="14"/>
        <v>Satisfactory performance. Needs more practice.</v>
      </c>
      <c r="AM9" s="8" t="s">
        <v>54</v>
      </c>
      <c r="AN9" s="7" t="s">
        <v>55</v>
      </c>
    </row>
    <row r="10" spans="1:40" ht="24.95" customHeight="1" x14ac:dyDescent="0.25">
      <c r="A10" s="3" t="s">
        <v>59</v>
      </c>
      <c r="B10" s="9" t="s">
        <v>76</v>
      </c>
      <c r="C10" s="1" t="s">
        <v>23</v>
      </c>
      <c r="D10" s="2" t="s">
        <v>42</v>
      </c>
      <c r="E10" s="2">
        <v>4</v>
      </c>
      <c r="F10" s="15" t="s">
        <v>51</v>
      </c>
      <c r="G10" s="2" t="s">
        <v>24</v>
      </c>
      <c r="H10" s="23">
        <v>61</v>
      </c>
      <c r="I10" s="23">
        <v>47</v>
      </c>
      <c r="J10" s="23">
        <v>85</v>
      </c>
      <c r="K10" s="23">
        <v>78</v>
      </c>
      <c r="L10" s="23">
        <v>64</v>
      </c>
      <c r="M10" s="24">
        <f t="shared" si="1"/>
        <v>335</v>
      </c>
      <c r="N10" s="11">
        <f t="shared" si="2"/>
        <v>67</v>
      </c>
      <c r="O10" s="8">
        <v>85</v>
      </c>
      <c r="P10" s="8">
        <v>89</v>
      </c>
      <c r="Q10" s="8">
        <v>82</v>
      </c>
      <c r="R10" s="8">
        <v>75</v>
      </c>
      <c r="S10" s="8">
        <v>84</v>
      </c>
      <c r="T10" s="9">
        <f t="shared" si="3"/>
        <v>415</v>
      </c>
      <c r="U10" s="22">
        <f t="shared" si="4"/>
        <v>83</v>
      </c>
      <c r="V10" s="20">
        <v>67</v>
      </c>
      <c r="W10" s="20">
        <v>51</v>
      </c>
      <c r="X10" s="20">
        <v>85</v>
      </c>
      <c r="Y10" s="20">
        <v>78</v>
      </c>
      <c r="Z10" s="20">
        <v>64</v>
      </c>
      <c r="AA10" s="21">
        <f t="shared" si="5"/>
        <v>345</v>
      </c>
      <c r="AB10" s="18">
        <f t="shared" si="6"/>
        <v>69</v>
      </c>
      <c r="AC10" s="19">
        <f t="shared" si="7"/>
        <v>213</v>
      </c>
      <c r="AD10" s="19">
        <f t="shared" si="8"/>
        <v>187</v>
      </c>
      <c r="AE10" s="19">
        <f t="shared" si="9"/>
        <v>252</v>
      </c>
      <c r="AF10" s="19">
        <f t="shared" si="10"/>
        <v>231</v>
      </c>
      <c r="AG10" s="19">
        <f t="shared" si="11"/>
        <v>212</v>
      </c>
      <c r="AH10" s="5">
        <f t="shared" si="0"/>
        <v>1095</v>
      </c>
      <c r="AI10" s="6">
        <f t="shared" si="15"/>
        <v>73</v>
      </c>
      <c r="AJ10" s="13" t="str">
        <f t="shared" si="12"/>
        <v>B+</v>
      </c>
      <c r="AK10" s="14" t="str">
        <f t="shared" si="13"/>
        <v>PASS</v>
      </c>
      <c r="AL10" s="17" t="str">
        <f t="shared" si="14"/>
        <v>Good performance. Can do even better.</v>
      </c>
      <c r="AM10" s="8" t="s">
        <v>54</v>
      </c>
      <c r="AN10" s="7" t="s">
        <v>55</v>
      </c>
    </row>
    <row r="11" spans="1:40" ht="24.95" customHeight="1" x14ac:dyDescent="0.25">
      <c r="A11" s="3" t="s">
        <v>60</v>
      </c>
      <c r="B11" s="9" t="s">
        <v>77</v>
      </c>
      <c r="C11" s="1" t="s">
        <v>23</v>
      </c>
      <c r="D11" s="2" t="s">
        <v>42</v>
      </c>
      <c r="E11" s="2">
        <v>5</v>
      </c>
      <c r="F11" s="15" t="s">
        <v>52</v>
      </c>
      <c r="G11" s="2" t="s">
        <v>24</v>
      </c>
      <c r="H11" s="23">
        <v>55</v>
      </c>
      <c r="I11" s="23">
        <v>52</v>
      </c>
      <c r="J11" s="23">
        <v>50</v>
      </c>
      <c r="K11" s="23">
        <v>53</v>
      </c>
      <c r="L11" s="23">
        <v>50</v>
      </c>
      <c r="M11" s="24">
        <f t="shared" si="1"/>
        <v>260</v>
      </c>
      <c r="N11" s="11">
        <f t="shared" si="2"/>
        <v>52</v>
      </c>
      <c r="O11" s="8">
        <v>50</v>
      </c>
      <c r="P11" s="8">
        <v>50</v>
      </c>
      <c r="Q11" s="8">
        <v>52</v>
      </c>
      <c r="R11" s="8">
        <v>53</v>
      </c>
      <c r="S11" s="8">
        <v>55</v>
      </c>
      <c r="T11" s="9">
        <f t="shared" si="3"/>
        <v>260</v>
      </c>
      <c r="U11" s="22">
        <f t="shared" si="4"/>
        <v>52</v>
      </c>
      <c r="V11" s="20">
        <v>55</v>
      </c>
      <c r="W11" s="20">
        <v>53</v>
      </c>
      <c r="X11" s="20">
        <v>52</v>
      </c>
      <c r="Y11" s="20">
        <v>50</v>
      </c>
      <c r="Z11" s="20">
        <v>50</v>
      </c>
      <c r="AA11" s="21">
        <f t="shared" si="5"/>
        <v>260</v>
      </c>
      <c r="AB11" s="18">
        <f t="shared" si="6"/>
        <v>52</v>
      </c>
      <c r="AC11" s="19">
        <f t="shared" si="7"/>
        <v>160</v>
      </c>
      <c r="AD11" s="19">
        <f t="shared" si="8"/>
        <v>155</v>
      </c>
      <c r="AE11" s="19">
        <f t="shared" si="9"/>
        <v>154</v>
      </c>
      <c r="AF11" s="19">
        <f t="shared" si="10"/>
        <v>156</v>
      </c>
      <c r="AG11" s="19">
        <f t="shared" si="11"/>
        <v>155</v>
      </c>
      <c r="AH11" s="5">
        <f t="shared" si="0"/>
        <v>780</v>
      </c>
      <c r="AI11" s="6">
        <f t="shared" si="15"/>
        <v>52</v>
      </c>
      <c r="AJ11" s="13" t="str">
        <f t="shared" si="12"/>
        <v>C</v>
      </c>
      <c r="AK11" s="14" t="str">
        <f t="shared" si="13"/>
        <v>PASS</v>
      </c>
      <c r="AL11" s="17" t="str">
        <f>IF(AI11&gt;=90,"Outstanding performance. Keep it up!",
IF(AI11&gt;=80,"Excellent work. Very consistent performance.",
IF(AI11&gt;=70,"Good performance. Can do even better.",
IF(AI11&gt;=60,"Satisfactory performance. Needs more practice.",
IF(AI11&gt;=50,"Needs improvement. More focus required.",
"Serious improvement required.")))))</f>
        <v>Needs improvement. More focus required.</v>
      </c>
      <c r="AM11" s="8" t="s">
        <v>54</v>
      </c>
      <c r="AN11" s="7" t="s">
        <v>55</v>
      </c>
    </row>
  </sheetData>
  <sortState xmlns:xlrd2="http://schemas.microsoft.com/office/spreadsheetml/2017/richdata2" columnSort="1" ref="V9:Z9">
    <sortCondition descending="1" ref="V9:Z9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1035-C5AA-4E26-AF72-80AD4B623443}">
  <dimension ref="A1:AN12"/>
  <sheetViews>
    <sheetView workbookViewId="0">
      <pane ySplit="2" topLeftCell="A3" activePane="bottomLeft" state="frozen"/>
      <selection activeCell="U1" sqref="U1"/>
      <selection pane="bottomLeft" activeCell="A3" sqref="A3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5.42578125" bestFit="1" customWidth="1"/>
    <col min="4" max="4" width="12.42578125" bestFit="1" customWidth="1"/>
    <col min="5" max="5" width="8" bestFit="1" customWidth="1"/>
    <col min="6" max="6" width="24.5703125" bestFit="1" customWidth="1"/>
    <col min="7" max="7" width="14.140625" bestFit="1" customWidth="1"/>
    <col min="8" max="8" width="10.28515625" bestFit="1" customWidth="1"/>
    <col min="9" max="9" width="8.7109375" bestFit="1" customWidth="1"/>
    <col min="10" max="10" width="9.5703125" bestFit="1" customWidth="1"/>
    <col min="11" max="11" width="10.7109375" bestFit="1" customWidth="1"/>
    <col min="12" max="12" width="7" bestFit="1" customWidth="1"/>
    <col min="13" max="13" width="8.42578125" bestFit="1" customWidth="1"/>
    <col min="14" max="14" width="14.85546875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0.7109375" bestFit="1" customWidth="1"/>
    <col min="19" max="19" width="7" bestFit="1" customWidth="1"/>
    <col min="20" max="20" width="8.42578125" bestFit="1" customWidth="1"/>
    <col min="21" max="21" width="14.85546875" bestFit="1" customWidth="1"/>
    <col min="22" max="22" width="10.28515625" bestFit="1" customWidth="1"/>
    <col min="23" max="23" width="8.7109375" bestFit="1" customWidth="1"/>
    <col min="24" max="24" width="9.5703125" bestFit="1" customWidth="1"/>
    <col min="25" max="25" width="10.7109375" bestFit="1" customWidth="1"/>
    <col min="26" max="26" width="7" bestFit="1" customWidth="1"/>
    <col min="27" max="27" width="8.42578125" bestFit="1" customWidth="1"/>
    <col min="28" max="28" width="14.85546875" bestFit="1" customWidth="1"/>
    <col min="29" max="29" width="9" bestFit="1" customWidth="1"/>
    <col min="30" max="30" width="10.5703125" bestFit="1" customWidth="1"/>
    <col min="31" max="31" width="11.42578125" bestFit="1" customWidth="1"/>
    <col min="32" max="32" width="12.5703125" bestFit="1" customWidth="1"/>
    <col min="33" max="33" width="8.85546875" bestFit="1" customWidth="1"/>
    <col min="34" max="34" width="10.140625" bestFit="1" customWidth="1"/>
    <col min="35" max="35" width="19.42578125" bestFit="1" customWidth="1"/>
    <col min="36" max="36" width="11.140625" bestFit="1" customWidth="1"/>
    <col min="37" max="37" width="11.28515625" bestFit="1" customWidth="1"/>
    <col min="38" max="38" width="44.140625" bestFit="1" customWidth="1"/>
    <col min="39" max="39" width="12.85546875" bestFit="1" customWidth="1"/>
    <col min="40" max="40" width="16" bestFit="1" customWidth="1"/>
  </cols>
  <sheetData>
    <row r="1" spans="1:40" ht="30" customHeight="1" x14ac:dyDescent="0.25">
      <c r="A1" s="25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spans="1:40" ht="24.95" customHeight="1" x14ac:dyDescent="0.25">
      <c r="A2" s="12" t="s">
        <v>0</v>
      </c>
      <c r="B2" s="12" t="s">
        <v>1</v>
      </c>
      <c r="C2" s="12" t="s">
        <v>2</v>
      </c>
      <c r="D2" s="12" t="s">
        <v>61</v>
      </c>
      <c r="E2" s="12" t="s">
        <v>3</v>
      </c>
      <c r="F2" s="12" t="s">
        <v>41</v>
      </c>
      <c r="G2" s="12" t="s">
        <v>4</v>
      </c>
      <c r="H2" s="12" t="s">
        <v>6</v>
      </c>
      <c r="I2" s="12" t="s">
        <v>9</v>
      </c>
      <c r="J2" s="12" t="s">
        <v>5</v>
      </c>
      <c r="K2" s="12" t="s">
        <v>7</v>
      </c>
      <c r="L2" s="12" t="s">
        <v>8</v>
      </c>
      <c r="M2" s="12" t="s">
        <v>10</v>
      </c>
      <c r="N2" s="12" t="s">
        <v>40</v>
      </c>
      <c r="O2" s="12" t="s">
        <v>11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39</v>
      </c>
      <c r="V2" s="12" t="s">
        <v>25</v>
      </c>
      <c r="W2" s="12" t="s">
        <v>26</v>
      </c>
      <c r="X2" s="12" t="s">
        <v>27</v>
      </c>
      <c r="Y2" s="12" t="s">
        <v>28</v>
      </c>
      <c r="Z2" s="12" t="s">
        <v>29</v>
      </c>
      <c r="AA2" s="12" t="s">
        <v>30</v>
      </c>
      <c r="AB2" s="12" t="s">
        <v>38</v>
      </c>
      <c r="AC2" s="12" t="s">
        <v>62</v>
      </c>
      <c r="AD2" s="12" t="s">
        <v>63</v>
      </c>
      <c r="AE2" s="12" t="s">
        <v>64</v>
      </c>
      <c r="AF2" s="12" t="s">
        <v>65</v>
      </c>
      <c r="AG2" s="12" t="s">
        <v>66</v>
      </c>
      <c r="AH2" s="12" t="s">
        <v>31</v>
      </c>
      <c r="AI2" s="12" t="s">
        <v>37</v>
      </c>
      <c r="AJ2" s="12" t="s">
        <v>17</v>
      </c>
      <c r="AK2" s="12" t="s">
        <v>18</v>
      </c>
      <c r="AL2" s="12" t="s">
        <v>19</v>
      </c>
      <c r="AM2" s="12" t="s">
        <v>20</v>
      </c>
      <c r="AN2" s="12" t="s">
        <v>21</v>
      </c>
    </row>
    <row r="3" spans="1:40" ht="24.95" customHeight="1" x14ac:dyDescent="0.25">
      <c r="A3" s="3" t="s">
        <v>32</v>
      </c>
      <c r="B3" s="9" t="s">
        <v>68</v>
      </c>
      <c r="C3" t="s">
        <v>23</v>
      </c>
      <c r="D3" s="2" t="s">
        <v>22</v>
      </c>
      <c r="E3" s="2">
        <v>1</v>
      </c>
      <c r="F3" s="15" t="s">
        <v>43</v>
      </c>
      <c r="G3" s="2" t="s">
        <v>24</v>
      </c>
      <c r="H3" s="4">
        <v>90</v>
      </c>
      <c r="I3" s="4">
        <v>92</v>
      </c>
      <c r="J3" s="4">
        <v>98</v>
      </c>
      <c r="K3" s="4">
        <v>95</v>
      </c>
      <c r="L3" s="4">
        <v>85</v>
      </c>
      <c r="M3" s="10">
        <f>SUM(H3:L3)</f>
        <v>460</v>
      </c>
      <c r="N3" s="11">
        <f>(M3/500)*100</f>
        <v>92</v>
      </c>
      <c r="O3" s="4">
        <v>90</v>
      </c>
      <c r="P3" s="4">
        <v>90</v>
      </c>
      <c r="Q3" s="4">
        <v>92</v>
      </c>
      <c r="R3" s="4">
        <v>95</v>
      </c>
      <c r="S3" s="4">
        <v>98</v>
      </c>
      <c r="T3" s="10">
        <f>SUM(O3:S3)</f>
        <v>465</v>
      </c>
      <c r="U3" s="11">
        <f>(T3/500)*100</f>
        <v>93</v>
      </c>
      <c r="V3" s="4">
        <v>95</v>
      </c>
      <c r="W3" s="4">
        <v>96</v>
      </c>
      <c r="X3" s="4">
        <v>93</v>
      </c>
      <c r="Y3" s="4">
        <v>87</v>
      </c>
      <c r="Z3" s="4">
        <v>84</v>
      </c>
      <c r="AA3" s="10">
        <f>SUM(V3:Z3)</f>
        <v>455</v>
      </c>
      <c r="AB3" s="11">
        <f>(AA3/500)*100</f>
        <v>91</v>
      </c>
      <c r="AC3" s="16">
        <f>SUM(H3,O3,V3)</f>
        <v>275</v>
      </c>
      <c r="AD3" s="16">
        <f>SUM(I3,P3,W3)</f>
        <v>278</v>
      </c>
      <c r="AE3" s="16">
        <f>SUM(J3,Q3,X3)</f>
        <v>283</v>
      </c>
      <c r="AF3" s="16">
        <f>SUM(K3,R3,Y3)</f>
        <v>277</v>
      </c>
      <c r="AG3" s="16">
        <f>SUM(L3,S3,Z3)</f>
        <v>267</v>
      </c>
      <c r="AH3" s="5">
        <f t="shared" ref="AH3:AH12" si="0">SUM(M3, T3, AA3)</f>
        <v>1380</v>
      </c>
      <c r="AI3" s="6">
        <f>(AH3/1500)*100</f>
        <v>92</v>
      </c>
      <c r="AJ3" s="13" t="str">
        <f>IF(AI3&gt;=90,"A+",
IF(AI3&gt;=80,"A",
IF(AI3&gt;=70,"B+",
IF(AI3&gt;=60,"B",
IF(AI3&gt;=50,"C",
"F")))))</f>
        <v>A+</v>
      </c>
      <c r="AK3" s="14" t="str">
        <f>IF(AI3&gt;=40,"PASS","FAIL")</f>
        <v>PASS</v>
      </c>
      <c r="AL3" s="3" t="str">
        <f>IF(AI3&gt;=90,"Outstanding performance. Keep it up!",
IF(AI3&gt;=80,"Excellent work. Very consistent performance.",
IF(AI3&gt;=70,"Good performance. Can do even better.",
IF(AI3&gt;=60,"Satisfactory performance. Needs more practice.",
IF(AI3&gt;=50,"Needs improvement. More focus required.",
"Serious improvement required.")))))</f>
        <v>Outstanding performance. Keep it up!</v>
      </c>
      <c r="AM3" s="8" t="s">
        <v>53</v>
      </c>
      <c r="AN3" s="7" t="s">
        <v>55</v>
      </c>
    </row>
    <row r="4" spans="1:40" ht="24.95" customHeight="1" x14ac:dyDescent="0.25">
      <c r="A4" s="3" t="s">
        <v>33</v>
      </c>
      <c r="B4" s="9" t="s">
        <v>69</v>
      </c>
      <c r="C4" t="s">
        <v>23</v>
      </c>
      <c r="D4" s="2" t="s">
        <v>22</v>
      </c>
      <c r="E4" s="2">
        <v>2</v>
      </c>
      <c r="F4" s="15" t="s">
        <v>44</v>
      </c>
      <c r="G4" s="2" t="s">
        <v>24</v>
      </c>
      <c r="H4" s="4">
        <v>85</v>
      </c>
      <c r="I4" s="4">
        <v>89</v>
      </c>
      <c r="J4" s="4">
        <v>82</v>
      </c>
      <c r="K4" s="4">
        <v>80</v>
      </c>
      <c r="L4" s="4">
        <v>69</v>
      </c>
      <c r="M4" s="10">
        <f t="shared" ref="M4:M12" si="1">SUM(H4:L4)</f>
        <v>405</v>
      </c>
      <c r="N4" s="11">
        <f t="shared" ref="N4:N12" si="2">(M4/500)*100</f>
        <v>81</v>
      </c>
      <c r="O4" s="4">
        <v>69</v>
      </c>
      <c r="P4" s="4">
        <v>80</v>
      </c>
      <c r="Q4" s="4">
        <v>82</v>
      </c>
      <c r="R4" s="4">
        <v>85</v>
      </c>
      <c r="S4" s="4">
        <v>89</v>
      </c>
      <c r="T4" s="10">
        <f t="shared" ref="T4:T12" si="3">SUM(O4:S4)</f>
        <v>405</v>
      </c>
      <c r="U4" s="11">
        <f t="shared" ref="U4:U12" si="4">(T4/500)*100</f>
        <v>81</v>
      </c>
      <c r="V4" s="4">
        <v>89</v>
      </c>
      <c r="W4" s="4">
        <v>85</v>
      </c>
      <c r="X4" s="4">
        <v>82</v>
      </c>
      <c r="Y4" s="4">
        <v>80</v>
      </c>
      <c r="Z4" s="4">
        <v>69</v>
      </c>
      <c r="AA4" s="10">
        <f t="shared" ref="AA4:AA12" si="5">SUM(V4:Z4)</f>
        <v>405</v>
      </c>
      <c r="AB4" s="11">
        <f t="shared" ref="AB4:AB12" si="6">(AA4/500)*100</f>
        <v>81</v>
      </c>
      <c r="AC4" s="16">
        <f t="shared" ref="AC4:AG12" si="7">SUM(H4,O4,V4)</f>
        <v>243</v>
      </c>
      <c r="AD4" s="16">
        <f t="shared" si="7"/>
        <v>254</v>
      </c>
      <c r="AE4" s="16">
        <f t="shared" si="7"/>
        <v>246</v>
      </c>
      <c r="AF4" s="16">
        <f t="shared" si="7"/>
        <v>245</v>
      </c>
      <c r="AG4" s="16">
        <f t="shared" si="7"/>
        <v>227</v>
      </c>
      <c r="AH4" s="5">
        <f t="shared" si="0"/>
        <v>1215</v>
      </c>
      <c r="AI4" s="6">
        <f>(AH4/1500)*100</f>
        <v>81</v>
      </c>
      <c r="AJ4" s="13" t="str">
        <f t="shared" ref="AJ4:AJ12" si="8">IF(AI4&gt;=90,"A+",
IF(AI4&gt;=80,"A",
IF(AI4&gt;=70,"B+",
IF(AI4&gt;=60,"B",
IF(AI4&gt;=50,"C",
"F")))))</f>
        <v>A</v>
      </c>
      <c r="AK4" s="14" t="str">
        <f t="shared" ref="AK4:AK12" si="9">IF(AI4&gt;=40,"PASS","FAIL")</f>
        <v>PASS</v>
      </c>
      <c r="AL4" s="3" t="str">
        <f t="shared" ref="AL4:AL11" si="10">IF(AI4&gt;=90,"Outstanding performance. Keep it up!",
IF(AI4&gt;=80,"Excellent work. Very consistent performance.",
IF(AI4&gt;=70,"Good performance. Can do even better.",
IF(AI4&gt;=60,"Satisfactory performance. Needs more practice.",
IF(AI4&gt;=50,"Needs improvement. More focus required.",
"Serious improvement required.")))))</f>
        <v>Excellent work. Very consistent performance.</v>
      </c>
      <c r="AM4" s="8" t="s">
        <v>53</v>
      </c>
      <c r="AN4" s="7" t="s">
        <v>55</v>
      </c>
    </row>
    <row r="5" spans="1:40" ht="24.95" customHeight="1" x14ac:dyDescent="0.25">
      <c r="A5" s="3" t="s">
        <v>34</v>
      </c>
      <c r="B5" s="9" t="s">
        <v>70</v>
      </c>
      <c r="C5" t="s">
        <v>23</v>
      </c>
      <c r="D5" s="2" t="s">
        <v>22</v>
      </c>
      <c r="E5" s="2">
        <v>3</v>
      </c>
      <c r="F5" s="15" t="s">
        <v>45</v>
      </c>
      <c r="G5" s="2" t="s">
        <v>24</v>
      </c>
      <c r="H5" s="4">
        <v>74</v>
      </c>
      <c r="I5" s="4">
        <v>65</v>
      </c>
      <c r="J5" s="4">
        <v>69</v>
      </c>
      <c r="K5" s="4">
        <v>71</v>
      </c>
      <c r="L5" s="4">
        <v>61</v>
      </c>
      <c r="M5" s="10">
        <f t="shared" si="1"/>
        <v>340</v>
      </c>
      <c r="N5" s="11">
        <f t="shared" si="2"/>
        <v>68</v>
      </c>
      <c r="O5" s="4">
        <v>61</v>
      </c>
      <c r="P5" s="4">
        <v>47</v>
      </c>
      <c r="Q5" s="4">
        <v>85</v>
      </c>
      <c r="R5" s="4">
        <v>78</v>
      </c>
      <c r="S5" s="4">
        <v>64</v>
      </c>
      <c r="T5" s="10">
        <f t="shared" si="3"/>
        <v>335</v>
      </c>
      <c r="U5" s="11">
        <f t="shared" si="4"/>
        <v>67</v>
      </c>
      <c r="V5" s="4">
        <v>81</v>
      </c>
      <c r="W5" s="4">
        <v>72</v>
      </c>
      <c r="X5" s="4">
        <v>78</v>
      </c>
      <c r="Y5" s="4">
        <v>75</v>
      </c>
      <c r="Z5" s="4">
        <v>69</v>
      </c>
      <c r="AA5" s="10">
        <f t="shared" si="5"/>
        <v>375</v>
      </c>
      <c r="AB5" s="11">
        <f t="shared" si="6"/>
        <v>75</v>
      </c>
      <c r="AC5" s="16">
        <f t="shared" si="7"/>
        <v>216</v>
      </c>
      <c r="AD5" s="16">
        <f t="shared" si="7"/>
        <v>184</v>
      </c>
      <c r="AE5" s="16">
        <f t="shared" si="7"/>
        <v>232</v>
      </c>
      <c r="AF5" s="16">
        <f t="shared" si="7"/>
        <v>224</v>
      </c>
      <c r="AG5" s="16">
        <f t="shared" si="7"/>
        <v>194</v>
      </c>
      <c r="AH5" s="5">
        <f t="shared" si="0"/>
        <v>1050</v>
      </c>
      <c r="AI5" s="6">
        <f t="shared" ref="AI5:AI12" si="11">(AH5/1500)*100</f>
        <v>70</v>
      </c>
      <c r="AJ5" s="13" t="str">
        <f t="shared" si="8"/>
        <v>B+</v>
      </c>
      <c r="AK5" s="14" t="str">
        <f t="shared" si="9"/>
        <v>PASS</v>
      </c>
      <c r="AL5" s="3" t="str">
        <f t="shared" si="10"/>
        <v>Good performance. Can do even better.</v>
      </c>
      <c r="AM5" s="8" t="s">
        <v>53</v>
      </c>
      <c r="AN5" s="7" t="s">
        <v>55</v>
      </c>
    </row>
    <row r="6" spans="1:40" ht="24.95" customHeight="1" x14ac:dyDescent="0.25">
      <c r="A6" s="3" t="s">
        <v>35</v>
      </c>
      <c r="B6" s="9" t="s">
        <v>71</v>
      </c>
      <c r="C6" t="s">
        <v>23</v>
      </c>
      <c r="D6" s="2" t="s">
        <v>22</v>
      </c>
      <c r="E6" s="2">
        <v>4</v>
      </c>
      <c r="F6" s="15" t="s">
        <v>46</v>
      </c>
      <c r="G6" s="2" t="s">
        <v>24</v>
      </c>
      <c r="H6" s="4">
        <v>67</v>
      </c>
      <c r="I6" s="4">
        <v>50</v>
      </c>
      <c r="J6" s="4">
        <v>63</v>
      </c>
      <c r="K6" s="4">
        <v>55</v>
      </c>
      <c r="L6" s="4">
        <v>80</v>
      </c>
      <c r="M6" s="10">
        <f t="shared" si="1"/>
        <v>315</v>
      </c>
      <c r="N6" s="11">
        <f t="shared" si="2"/>
        <v>63</v>
      </c>
      <c r="O6" s="4">
        <v>50</v>
      </c>
      <c r="P6" s="4">
        <v>55</v>
      </c>
      <c r="Q6" s="4">
        <v>63</v>
      </c>
      <c r="R6" s="4">
        <v>67</v>
      </c>
      <c r="S6" s="4">
        <v>80</v>
      </c>
      <c r="T6" s="10">
        <f t="shared" si="3"/>
        <v>315</v>
      </c>
      <c r="U6" s="11">
        <f t="shared" si="4"/>
        <v>63</v>
      </c>
      <c r="V6" s="4">
        <v>80</v>
      </c>
      <c r="W6" s="4">
        <v>67</v>
      </c>
      <c r="X6" s="4">
        <v>63</v>
      </c>
      <c r="Y6" s="4">
        <v>55</v>
      </c>
      <c r="Z6" s="4">
        <v>50</v>
      </c>
      <c r="AA6" s="10">
        <f t="shared" si="5"/>
        <v>315</v>
      </c>
      <c r="AB6" s="11">
        <f t="shared" si="6"/>
        <v>63</v>
      </c>
      <c r="AC6" s="16">
        <f t="shared" si="7"/>
        <v>197</v>
      </c>
      <c r="AD6" s="16">
        <f t="shared" si="7"/>
        <v>172</v>
      </c>
      <c r="AE6" s="16">
        <f t="shared" si="7"/>
        <v>189</v>
      </c>
      <c r="AF6" s="16">
        <f t="shared" si="7"/>
        <v>177</v>
      </c>
      <c r="AG6" s="16">
        <f t="shared" si="7"/>
        <v>210</v>
      </c>
      <c r="AH6" s="5">
        <f t="shared" si="0"/>
        <v>945</v>
      </c>
      <c r="AI6" s="6">
        <f t="shared" si="11"/>
        <v>63</v>
      </c>
      <c r="AJ6" s="13" t="str">
        <f t="shared" si="8"/>
        <v>B</v>
      </c>
      <c r="AK6" s="14" t="str">
        <f t="shared" si="9"/>
        <v>PASS</v>
      </c>
      <c r="AL6" s="3" t="str">
        <f t="shared" si="10"/>
        <v>Satisfactory performance. Needs more practice.</v>
      </c>
      <c r="AM6" s="8" t="s">
        <v>53</v>
      </c>
      <c r="AN6" s="7" t="s">
        <v>55</v>
      </c>
    </row>
    <row r="7" spans="1:40" ht="24.95" customHeight="1" x14ac:dyDescent="0.25">
      <c r="A7" s="3" t="s">
        <v>36</v>
      </c>
      <c r="B7" s="9" t="s">
        <v>72</v>
      </c>
      <c r="C7" t="s">
        <v>23</v>
      </c>
      <c r="D7" s="2" t="s">
        <v>22</v>
      </c>
      <c r="E7" s="2">
        <v>5</v>
      </c>
      <c r="F7" s="15" t="s">
        <v>47</v>
      </c>
      <c r="G7" s="2" t="s">
        <v>24</v>
      </c>
      <c r="H7" s="4">
        <v>80</v>
      </c>
      <c r="I7" s="4">
        <v>78</v>
      </c>
      <c r="J7" s="4">
        <v>71</v>
      </c>
      <c r="K7" s="4">
        <v>68</v>
      </c>
      <c r="L7" s="4">
        <v>63</v>
      </c>
      <c r="M7" s="10">
        <f t="shared" si="1"/>
        <v>360</v>
      </c>
      <c r="N7" s="11">
        <f t="shared" si="2"/>
        <v>72</v>
      </c>
      <c r="O7" s="4">
        <v>74</v>
      </c>
      <c r="P7" s="4">
        <v>65</v>
      </c>
      <c r="Q7" s="4">
        <v>69</v>
      </c>
      <c r="R7" s="4">
        <v>71</v>
      </c>
      <c r="S7" s="4">
        <v>61</v>
      </c>
      <c r="T7" s="10">
        <f t="shared" si="3"/>
        <v>340</v>
      </c>
      <c r="U7" s="11">
        <f t="shared" si="4"/>
        <v>68</v>
      </c>
      <c r="V7" s="4">
        <v>74</v>
      </c>
      <c r="W7" s="4">
        <v>74</v>
      </c>
      <c r="X7" s="4">
        <v>70</v>
      </c>
      <c r="Y7" s="4">
        <v>71</v>
      </c>
      <c r="Z7" s="4">
        <v>61</v>
      </c>
      <c r="AA7" s="10">
        <f t="shared" si="5"/>
        <v>350</v>
      </c>
      <c r="AB7" s="11">
        <f t="shared" si="6"/>
        <v>70</v>
      </c>
      <c r="AC7" s="16">
        <f t="shared" si="7"/>
        <v>228</v>
      </c>
      <c r="AD7" s="16">
        <f t="shared" si="7"/>
        <v>217</v>
      </c>
      <c r="AE7" s="16">
        <f t="shared" si="7"/>
        <v>210</v>
      </c>
      <c r="AF7" s="16">
        <f t="shared" si="7"/>
        <v>210</v>
      </c>
      <c r="AG7" s="16">
        <f t="shared" si="7"/>
        <v>185</v>
      </c>
      <c r="AH7" s="5">
        <f t="shared" si="0"/>
        <v>1050</v>
      </c>
      <c r="AI7" s="6">
        <f t="shared" si="11"/>
        <v>70</v>
      </c>
      <c r="AJ7" s="13" t="str">
        <f t="shared" si="8"/>
        <v>B+</v>
      </c>
      <c r="AK7" s="14" t="str">
        <f t="shared" si="9"/>
        <v>PASS</v>
      </c>
      <c r="AL7" s="3" t="str">
        <f t="shared" si="10"/>
        <v>Good performance. Can do even better.</v>
      </c>
      <c r="AM7" s="8" t="s">
        <v>53</v>
      </c>
      <c r="AN7" s="7" t="s">
        <v>55</v>
      </c>
    </row>
    <row r="8" spans="1:40" ht="24.95" customHeight="1" x14ac:dyDescent="0.25">
      <c r="A8" s="3" t="s">
        <v>56</v>
      </c>
      <c r="B8" s="9" t="s">
        <v>73</v>
      </c>
      <c r="C8" t="s">
        <v>23</v>
      </c>
      <c r="D8" s="2" t="s">
        <v>42</v>
      </c>
      <c r="E8" s="2">
        <v>1</v>
      </c>
      <c r="F8" s="15" t="s">
        <v>48</v>
      </c>
      <c r="G8" s="2" t="s">
        <v>24</v>
      </c>
      <c r="H8" s="4">
        <v>85</v>
      </c>
      <c r="I8" s="4">
        <v>73</v>
      </c>
      <c r="J8" s="4">
        <v>81</v>
      </c>
      <c r="K8" s="4">
        <v>75</v>
      </c>
      <c r="L8" s="4">
        <v>56</v>
      </c>
      <c r="M8" s="10">
        <f t="shared" si="1"/>
        <v>370</v>
      </c>
      <c r="N8" s="11">
        <f t="shared" si="2"/>
        <v>74</v>
      </c>
      <c r="O8" s="4">
        <v>74</v>
      </c>
      <c r="P8" s="4">
        <v>69</v>
      </c>
      <c r="Q8" s="4">
        <v>78</v>
      </c>
      <c r="R8" s="4">
        <v>62</v>
      </c>
      <c r="S8" s="4">
        <v>87</v>
      </c>
      <c r="T8" s="10">
        <f t="shared" si="3"/>
        <v>370</v>
      </c>
      <c r="U8" s="11">
        <f t="shared" si="4"/>
        <v>74</v>
      </c>
      <c r="V8" s="4">
        <v>74</v>
      </c>
      <c r="W8" s="4">
        <v>69</v>
      </c>
      <c r="X8" s="4">
        <v>78</v>
      </c>
      <c r="Y8" s="4">
        <v>62</v>
      </c>
      <c r="Z8" s="4">
        <v>87</v>
      </c>
      <c r="AA8" s="10">
        <f t="shared" si="5"/>
        <v>370</v>
      </c>
      <c r="AB8" s="11">
        <f t="shared" si="6"/>
        <v>74</v>
      </c>
      <c r="AC8" s="16">
        <f t="shared" si="7"/>
        <v>233</v>
      </c>
      <c r="AD8" s="16">
        <f t="shared" si="7"/>
        <v>211</v>
      </c>
      <c r="AE8" s="16">
        <f t="shared" si="7"/>
        <v>237</v>
      </c>
      <c r="AF8" s="16">
        <f t="shared" si="7"/>
        <v>199</v>
      </c>
      <c r="AG8" s="16">
        <f t="shared" si="7"/>
        <v>230</v>
      </c>
      <c r="AH8" s="5">
        <f t="shared" si="0"/>
        <v>1110</v>
      </c>
      <c r="AI8" s="6">
        <f t="shared" si="11"/>
        <v>74</v>
      </c>
      <c r="AJ8" s="13" t="str">
        <f t="shared" si="8"/>
        <v>B+</v>
      </c>
      <c r="AK8" s="14" t="str">
        <f t="shared" si="9"/>
        <v>PASS</v>
      </c>
      <c r="AL8" s="3" t="str">
        <f t="shared" si="10"/>
        <v>Good performance. Can do even better.</v>
      </c>
      <c r="AM8" s="8" t="s">
        <v>54</v>
      </c>
      <c r="AN8" s="7" t="s">
        <v>55</v>
      </c>
    </row>
    <row r="9" spans="1:40" ht="24.95" customHeight="1" x14ac:dyDescent="0.25">
      <c r="A9" s="3" t="s">
        <v>57</v>
      </c>
      <c r="B9" s="9" t="s">
        <v>74</v>
      </c>
      <c r="C9" t="s">
        <v>23</v>
      </c>
      <c r="D9" s="2" t="s">
        <v>42</v>
      </c>
      <c r="E9" s="2">
        <v>2</v>
      </c>
      <c r="F9" s="15" t="s">
        <v>49</v>
      </c>
      <c r="G9" s="2" t="s">
        <v>24</v>
      </c>
      <c r="H9" s="4">
        <v>61</v>
      </c>
      <c r="I9" s="4">
        <v>69</v>
      </c>
      <c r="J9" s="4">
        <v>71</v>
      </c>
      <c r="K9" s="4">
        <v>75</v>
      </c>
      <c r="L9" s="4">
        <v>69</v>
      </c>
      <c r="M9" s="10">
        <f t="shared" si="1"/>
        <v>345</v>
      </c>
      <c r="N9" s="11">
        <f t="shared" si="2"/>
        <v>69</v>
      </c>
      <c r="O9" s="4">
        <v>80</v>
      </c>
      <c r="P9" s="4">
        <v>78</v>
      </c>
      <c r="Q9" s="4">
        <v>71</v>
      </c>
      <c r="R9" s="4">
        <v>68</v>
      </c>
      <c r="S9" s="4">
        <v>63</v>
      </c>
      <c r="T9" s="10">
        <f t="shared" si="3"/>
        <v>360</v>
      </c>
      <c r="U9" s="11">
        <f t="shared" si="4"/>
        <v>72</v>
      </c>
      <c r="V9" s="4">
        <v>67</v>
      </c>
      <c r="W9" s="4">
        <v>75</v>
      </c>
      <c r="X9" s="4">
        <v>63</v>
      </c>
      <c r="Y9" s="4">
        <v>75</v>
      </c>
      <c r="Z9" s="4">
        <v>80</v>
      </c>
      <c r="AA9" s="10">
        <f t="shared" si="5"/>
        <v>360</v>
      </c>
      <c r="AB9" s="11">
        <f t="shared" si="6"/>
        <v>72</v>
      </c>
      <c r="AC9" s="16">
        <f t="shared" si="7"/>
        <v>208</v>
      </c>
      <c r="AD9" s="16">
        <f t="shared" si="7"/>
        <v>222</v>
      </c>
      <c r="AE9" s="16">
        <f t="shared" si="7"/>
        <v>205</v>
      </c>
      <c r="AF9" s="16">
        <f t="shared" si="7"/>
        <v>218</v>
      </c>
      <c r="AG9" s="16">
        <f t="shared" si="7"/>
        <v>212</v>
      </c>
      <c r="AH9" s="5">
        <f t="shared" si="0"/>
        <v>1065</v>
      </c>
      <c r="AI9" s="6">
        <f t="shared" si="11"/>
        <v>71</v>
      </c>
      <c r="AJ9" s="13" t="str">
        <f t="shared" si="8"/>
        <v>B+</v>
      </c>
      <c r="AK9" s="14" t="str">
        <f t="shared" si="9"/>
        <v>PASS</v>
      </c>
      <c r="AL9" s="3" t="str">
        <f t="shared" si="10"/>
        <v>Good performance. Can do even better.</v>
      </c>
      <c r="AM9" s="8" t="s">
        <v>54</v>
      </c>
      <c r="AN9" s="7" t="s">
        <v>55</v>
      </c>
    </row>
    <row r="10" spans="1:40" ht="24.95" customHeight="1" x14ac:dyDescent="0.25">
      <c r="A10" s="3" t="s">
        <v>58</v>
      </c>
      <c r="B10" s="9" t="s">
        <v>75</v>
      </c>
      <c r="C10" t="s">
        <v>23</v>
      </c>
      <c r="D10" s="2" t="s">
        <v>42</v>
      </c>
      <c r="E10" s="2">
        <v>3</v>
      </c>
      <c r="F10" s="15" t="s">
        <v>50</v>
      </c>
      <c r="G10" s="2" t="s">
        <v>24</v>
      </c>
      <c r="H10" s="4">
        <v>57</v>
      </c>
      <c r="I10" s="4">
        <v>53</v>
      </c>
      <c r="J10" s="4">
        <v>64</v>
      </c>
      <c r="K10" s="4">
        <v>70</v>
      </c>
      <c r="L10" s="4">
        <v>66</v>
      </c>
      <c r="M10" s="10">
        <f t="shared" si="1"/>
        <v>310</v>
      </c>
      <c r="N10" s="11">
        <f t="shared" si="2"/>
        <v>62</v>
      </c>
      <c r="O10" s="4">
        <v>53</v>
      </c>
      <c r="P10" s="4">
        <v>57</v>
      </c>
      <c r="Q10" s="4">
        <v>64</v>
      </c>
      <c r="R10" s="4">
        <v>66</v>
      </c>
      <c r="S10" s="4">
        <v>70</v>
      </c>
      <c r="T10" s="10">
        <f t="shared" si="3"/>
        <v>310</v>
      </c>
      <c r="U10" s="11">
        <f t="shared" si="4"/>
        <v>62</v>
      </c>
      <c r="V10" s="4">
        <v>70</v>
      </c>
      <c r="W10" s="4">
        <v>66</v>
      </c>
      <c r="X10" s="4">
        <v>64</v>
      </c>
      <c r="Y10" s="4">
        <v>57</v>
      </c>
      <c r="Z10" s="4">
        <v>53</v>
      </c>
      <c r="AA10" s="10">
        <f t="shared" si="5"/>
        <v>310</v>
      </c>
      <c r="AB10" s="11">
        <f t="shared" si="6"/>
        <v>62</v>
      </c>
      <c r="AC10" s="16">
        <f t="shared" si="7"/>
        <v>180</v>
      </c>
      <c r="AD10" s="16">
        <f t="shared" si="7"/>
        <v>176</v>
      </c>
      <c r="AE10" s="16">
        <f t="shared" si="7"/>
        <v>192</v>
      </c>
      <c r="AF10" s="16">
        <f t="shared" si="7"/>
        <v>193</v>
      </c>
      <c r="AG10" s="16">
        <f t="shared" si="7"/>
        <v>189</v>
      </c>
      <c r="AH10" s="5">
        <f t="shared" si="0"/>
        <v>930</v>
      </c>
      <c r="AI10" s="6">
        <f t="shared" si="11"/>
        <v>62</v>
      </c>
      <c r="AJ10" s="13" t="str">
        <f t="shared" si="8"/>
        <v>B</v>
      </c>
      <c r="AK10" s="14" t="str">
        <f t="shared" si="9"/>
        <v>PASS</v>
      </c>
      <c r="AL10" s="3" t="str">
        <f t="shared" si="10"/>
        <v>Satisfactory performance. Needs more practice.</v>
      </c>
      <c r="AM10" s="8" t="s">
        <v>54</v>
      </c>
      <c r="AN10" s="7" t="s">
        <v>55</v>
      </c>
    </row>
    <row r="11" spans="1:40" ht="24.95" customHeight="1" x14ac:dyDescent="0.25">
      <c r="A11" s="3" t="s">
        <v>59</v>
      </c>
      <c r="B11" s="9" t="s">
        <v>76</v>
      </c>
      <c r="C11" t="s">
        <v>23</v>
      </c>
      <c r="D11" s="2" t="s">
        <v>42</v>
      </c>
      <c r="E11" s="2">
        <v>4</v>
      </c>
      <c r="F11" s="15" t="s">
        <v>51</v>
      </c>
      <c r="G11" s="2" t="s">
        <v>24</v>
      </c>
      <c r="H11" s="4">
        <v>61</v>
      </c>
      <c r="I11" s="4">
        <v>47</v>
      </c>
      <c r="J11" s="4">
        <v>85</v>
      </c>
      <c r="K11" s="4">
        <v>78</v>
      </c>
      <c r="L11" s="4">
        <v>64</v>
      </c>
      <c r="M11" s="10">
        <f t="shared" si="1"/>
        <v>335</v>
      </c>
      <c r="N11" s="11">
        <f t="shared" si="2"/>
        <v>67</v>
      </c>
      <c r="O11" s="4">
        <v>85</v>
      </c>
      <c r="P11" s="4">
        <v>89</v>
      </c>
      <c r="Q11" s="4">
        <v>82</v>
      </c>
      <c r="R11" s="4">
        <v>75</v>
      </c>
      <c r="S11" s="4">
        <v>84</v>
      </c>
      <c r="T11" s="10">
        <f t="shared" si="3"/>
        <v>415</v>
      </c>
      <c r="U11" s="11">
        <f t="shared" si="4"/>
        <v>83</v>
      </c>
      <c r="V11" s="4">
        <v>67</v>
      </c>
      <c r="W11" s="4">
        <v>51</v>
      </c>
      <c r="X11" s="4">
        <v>85</v>
      </c>
      <c r="Y11" s="4">
        <v>78</v>
      </c>
      <c r="Z11" s="4">
        <v>64</v>
      </c>
      <c r="AA11" s="10">
        <f t="shared" si="5"/>
        <v>345</v>
      </c>
      <c r="AB11" s="11">
        <f t="shared" si="6"/>
        <v>69</v>
      </c>
      <c r="AC11" s="16">
        <f t="shared" si="7"/>
        <v>213</v>
      </c>
      <c r="AD11" s="16">
        <f t="shared" si="7"/>
        <v>187</v>
      </c>
      <c r="AE11" s="16">
        <f t="shared" si="7"/>
        <v>252</v>
      </c>
      <c r="AF11" s="16">
        <f t="shared" si="7"/>
        <v>231</v>
      </c>
      <c r="AG11" s="16">
        <f t="shared" si="7"/>
        <v>212</v>
      </c>
      <c r="AH11" s="5">
        <f t="shared" si="0"/>
        <v>1095</v>
      </c>
      <c r="AI11" s="6">
        <f t="shared" si="11"/>
        <v>73</v>
      </c>
      <c r="AJ11" s="13" t="str">
        <f t="shared" si="8"/>
        <v>B+</v>
      </c>
      <c r="AK11" s="14" t="str">
        <f t="shared" si="9"/>
        <v>PASS</v>
      </c>
      <c r="AL11" s="3" t="str">
        <f t="shared" si="10"/>
        <v>Good performance. Can do even better.</v>
      </c>
      <c r="AM11" s="8" t="s">
        <v>54</v>
      </c>
      <c r="AN11" s="7" t="s">
        <v>55</v>
      </c>
    </row>
    <row r="12" spans="1:40" ht="24.95" customHeight="1" x14ac:dyDescent="0.25">
      <c r="A12" s="3" t="s">
        <v>60</v>
      </c>
      <c r="B12" s="9" t="s">
        <v>77</v>
      </c>
      <c r="C12" t="s">
        <v>23</v>
      </c>
      <c r="D12" s="2" t="s">
        <v>42</v>
      </c>
      <c r="E12" s="2">
        <v>5</v>
      </c>
      <c r="F12" s="15" t="s">
        <v>52</v>
      </c>
      <c r="G12" s="2" t="s">
        <v>24</v>
      </c>
      <c r="H12" s="4">
        <v>55</v>
      </c>
      <c r="I12" s="4">
        <v>52</v>
      </c>
      <c r="J12" s="4">
        <v>50</v>
      </c>
      <c r="K12" s="4">
        <v>53</v>
      </c>
      <c r="L12" s="4">
        <v>50</v>
      </c>
      <c r="M12" s="10">
        <f t="shared" si="1"/>
        <v>260</v>
      </c>
      <c r="N12" s="11">
        <f t="shared" si="2"/>
        <v>52</v>
      </c>
      <c r="O12" s="4">
        <v>50</v>
      </c>
      <c r="P12" s="4">
        <v>50</v>
      </c>
      <c r="Q12" s="4">
        <v>52</v>
      </c>
      <c r="R12" s="4">
        <v>53</v>
      </c>
      <c r="S12" s="4">
        <v>55</v>
      </c>
      <c r="T12" s="10">
        <f t="shared" si="3"/>
        <v>260</v>
      </c>
      <c r="U12" s="11">
        <f t="shared" si="4"/>
        <v>52</v>
      </c>
      <c r="V12" s="4">
        <v>55</v>
      </c>
      <c r="W12" s="4">
        <v>53</v>
      </c>
      <c r="X12" s="4">
        <v>52</v>
      </c>
      <c r="Y12" s="4">
        <v>50</v>
      </c>
      <c r="Z12" s="4">
        <v>50</v>
      </c>
      <c r="AA12" s="10">
        <f t="shared" si="5"/>
        <v>260</v>
      </c>
      <c r="AB12" s="11">
        <f t="shared" si="6"/>
        <v>52</v>
      </c>
      <c r="AC12" s="16">
        <f t="shared" si="7"/>
        <v>160</v>
      </c>
      <c r="AD12" s="16">
        <f t="shared" si="7"/>
        <v>155</v>
      </c>
      <c r="AE12" s="16">
        <f t="shared" si="7"/>
        <v>154</v>
      </c>
      <c r="AF12" s="16">
        <f t="shared" si="7"/>
        <v>156</v>
      </c>
      <c r="AG12" s="16">
        <f t="shared" si="7"/>
        <v>155</v>
      </c>
      <c r="AH12" s="5">
        <f t="shared" si="0"/>
        <v>780</v>
      </c>
      <c r="AI12" s="6">
        <f t="shared" si="11"/>
        <v>52</v>
      </c>
      <c r="AJ12" s="13" t="str">
        <f t="shared" si="8"/>
        <v>C</v>
      </c>
      <c r="AK12" s="14" t="str">
        <f t="shared" si="9"/>
        <v>PASS</v>
      </c>
      <c r="AL12" s="3" t="str">
        <f>IF(AI12&gt;=90,"Outstanding performance. Keep it up!",
IF(AI12&gt;=80,"Excellent work. Very consistent performance.",
IF(AI12&gt;=70,"Good performance. Can do even better.",
IF(AI12&gt;=60,"Satisfactory performance. Needs more practice.",
IF(AI12&gt;=50,"Needs improvement. More focus required.",
"Serious improvement required.")))))</f>
        <v>Needs improvement. More focus required.</v>
      </c>
      <c r="AM12" s="8" t="s">
        <v>54</v>
      </c>
      <c r="AN12" s="7" t="s">
        <v>55</v>
      </c>
    </row>
  </sheetData>
  <mergeCells count="1">
    <mergeCell ref="A1:A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2026-08-30T08:59:36Z</dcterms:created>
  <dcterms:modified xsi:type="dcterms:W3CDTF">2026-08-30T08:59:50Z</dcterms:modified>
</cp:coreProperties>
</file>